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Record" sheetId="1" r:id="rId4"/>
    <sheet state="visible" name="Placement Record" sheetId="2" r:id="rId5"/>
    <sheet state="visible" name="Win Rates (Seasonal)" sheetId="3" r:id="rId6"/>
    <sheet state="visible" name="Win Rates (Total)" sheetId="4" r:id="rId7"/>
  </sheets>
  <definedNames>
    <definedName name="SeasonalWins">'Placement Record'!$D$2:$D$1000</definedName>
    <definedName name="PlayerSeasonalRecordCollection">'Placement Record'!$2:$1000</definedName>
    <definedName name="Teams">'Placement Record'!$A$2:$A$1000</definedName>
    <definedName name="TeamARecordSet">'Game Record'!$A$2:$B$1000</definedName>
    <definedName name="SeasonalLosses">'Placement Record'!$E$2:$E$1000</definedName>
    <definedName name="Placements">'Placement Record'!$B$2:$B$1000</definedName>
    <definedName name="Season">'Game Record'!$E$2:$E$1000</definedName>
    <definedName name="TotalLosses">'Placement Record'!$H$2:$H$1000</definedName>
    <definedName name="TeamB">'Game Record'!$C$2:$C$1000</definedName>
    <definedName name="Winner">'Game Record'!$G$2:$G$1000</definedName>
    <definedName name="TotalWins">'Placement Record'!$G$2:$G$1000</definedName>
    <definedName name="TeamBPts">'Game Record'!$D$2:$D$1000</definedName>
    <definedName name="SeasonalPts.">'Placement Record'!$F$2:$F$1000</definedName>
    <definedName name="Matchup">'Game Record'!$G$2:$H$1000</definedName>
    <definedName name="TeamA">'Game Record'!$A$2:$A$1000</definedName>
    <definedName name="Week">'Game Record'!$F$2:$F$1000</definedName>
    <definedName name="TotalPts.">'Placement Record'!$I$2:$I$1000</definedName>
    <definedName name="SeasonalRecords">'Placement Record'!$2:$1000</definedName>
    <definedName name="Seasons">'Placement Record'!$C$2:$C$1000</definedName>
    <definedName name="TeamBRecordSet">'Game Record'!$C$2:$D$1000</definedName>
    <definedName name="TeamAPts">'Game Record'!$B$2:$B$1000</definedName>
    <definedName name="Match">'Game Record'!$2:$1000</definedName>
    <definedName name="Loser">'Game Record'!$H$2:$H$1000</definedName>
    <definedName hidden="1" localSheetId="0" name="_xlnm._FilterDatabase">'Game Record'!$A$1:$I$153</definedName>
  </definedNames>
  <calcPr/>
</workbook>
</file>

<file path=xl/sharedStrings.xml><?xml version="1.0" encoding="utf-8"?>
<sst xmlns="http://schemas.openxmlformats.org/spreadsheetml/2006/main" count="564" uniqueCount="31">
  <si>
    <t>Team A</t>
  </si>
  <si>
    <t>Team A Pts.</t>
  </si>
  <si>
    <t>Team B</t>
  </si>
  <si>
    <t>Team B Pts.</t>
  </si>
  <si>
    <t>Season</t>
  </si>
  <si>
    <t>Week</t>
  </si>
  <si>
    <t>Winner</t>
  </si>
  <si>
    <t>Loser</t>
  </si>
  <si>
    <t>Luke</t>
  </si>
  <si>
    <t>Kadin</t>
  </si>
  <si>
    <t>Jacob</t>
  </si>
  <si>
    <t>Mitch</t>
  </si>
  <si>
    <t>Ruben</t>
  </si>
  <si>
    <t>Raghav</t>
  </si>
  <si>
    <t>Griffin</t>
  </si>
  <si>
    <t>Connor</t>
  </si>
  <si>
    <t>Kyle</t>
  </si>
  <si>
    <t>Michael</t>
  </si>
  <si>
    <t>Andrew</t>
  </si>
  <si>
    <t>Nick</t>
  </si>
  <si>
    <t>Team</t>
  </si>
  <si>
    <t>Placement</t>
  </si>
  <si>
    <t>Season Wins</t>
  </si>
  <si>
    <t>Season Losses</t>
  </si>
  <si>
    <t>Seasonal Pts.</t>
  </si>
  <si>
    <t>Total Wins</t>
  </si>
  <si>
    <t>Total Losses</t>
  </si>
  <si>
    <t>Total Pts.</t>
  </si>
  <si>
    <t>Seasonal Average Pts.</t>
  </si>
  <si>
    <t>Total Average Pts.</t>
  </si>
  <si>
    <t>Team Calculating (Chance of win)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</si>
</sst>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1" numFmtId="0" xfId="0" applyFont="1"/>
    <xf borderId="0" fillId="0" fontId="2" numFmtId="0" xfId="0" applyAlignment="1" applyFont="1">
      <alignment vertical="bottom"/>
    </xf>
    <xf borderId="0" fillId="2" fontId="3" numFmtId="10" xfId="0" applyAlignment="1" applyFont="1" applyNumberFormat="1">
      <alignment horizontal="left" readingOrder="0"/>
    </xf>
    <xf borderId="0" fillId="0" fontId="1" numFmtId="10" xfId="0" applyFont="1" applyNumberFormat="1"/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Row="1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1">
      <c r="A2" s="1" t="s">
        <v>8</v>
      </c>
      <c r="B2" s="1">
        <v>141.2</v>
      </c>
      <c r="C2" s="1" t="s">
        <v>9</v>
      </c>
      <c r="D2" s="1">
        <v>153.5</v>
      </c>
      <c r="E2" s="1">
        <v>2019.0</v>
      </c>
      <c r="F2" s="1">
        <v>1.0</v>
      </c>
      <c r="G2" s="1" t="str">
        <f t="shared" ref="G2:G1000" si="1">IF(B2 &gt; D2, A2, C2)</f>
        <v>Kadin</v>
      </c>
      <c r="H2" s="2" t="str">
        <f t="shared" ref="H2:H1000" si="2">IF(B2 &lt; D2, A2, C2)</f>
        <v>Luke</v>
      </c>
    </row>
    <row r="3" outlineLevel="1">
      <c r="A3" s="1" t="s">
        <v>10</v>
      </c>
      <c r="B3" s="1">
        <v>157.5</v>
      </c>
      <c r="C3" s="1" t="s">
        <v>11</v>
      </c>
      <c r="D3" s="1">
        <v>119.65</v>
      </c>
      <c r="E3" s="1">
        <v>2019.0</v>
      </c>
      <c r="F3" s="1">
        <v>1.0</v>
      </c>
      <c r="G3" s="1" t="str">
        <f t="shared" si="1"/>
        <v>Jacob</v>
      </c>
      <c r="H3" s="2" t="str">
        <f t="shared" si="2"/>
        <v>Mitch</v>
      </c>
    </row>
    <row r="4" outlineLevel="1">
      <c r="A4" s="1" t="s">
        <v>12</v>
      </c>
      <c r="B4" s="1">
        <v>114.2</v>
      </c>
      <c r="C4" s="1" t="s">
        <v>13</v>
      </c>
      <c r="D4" s="1">
        <v>152.75</v>
      </c>
      <c r="E4" s="1">
        <v>2019.0</v>
      </c>
      <c r="F4" s="1">
        <v>1.0</v>
      </c>
      <c r="G4" s="1" t="str">
        <f t="shared" si="1"/>
        <v>Raghav</v>
      </c>
      <c r="H4" s="2" t="str">
        <f t="shared" si="2"/>
        <v>Ruben</v>
      </c>
    </row>
    <row r="5" outlineLevel="1">
      <c r="A5" s="1" t="s">
        <v>14</v>
      </c>
      <c r="B5" s="1">
        <v>121.1</v>
      </c>
      <c r="C5" s="1" t="s">
        <v>15</v>
      </c>
      <c r="D5" s="1">
        <v>146.0</v>
      </c>
      <c r="E5" s="1">
        <v>2019.0</v>
      </c>
      <c r="F5" s="1">
        <v>1.0</v>
      </c>
      <c r="G5" s="1" t="str">
        <f t="shared" si="1"/>
        <v>Connor</v>
      </c>
      <c r="H5" s="2" t="str">
        <f t="shared" si="2"/>
        <v>Griffin</v>
      </c>
    </row>
    <row r="6" outlineLevel="1">
      <c r="A6" s="1" t="s">
        <v>16</v>
      </c>
      <c r="B6" s="1">
        <v>115.65</v>
      </c>
      <c r="C6" s="1" t="s">
        <v>17</v>
      </c>
      <c r="D6" s="1">
        <v>138.5</v>
      </c>
      <c r="E6" s="1">
        <v>2019.0</v>
      </c>
      <c r="F6" s="1">
        <v>1.0</v>
      </c>
      <c r="G6" s="1" t="str">
        <f t="shared" si="1"/>
        <v>Michael</v>
      </c>
      <c r="H6" s="2" t="str">
        <f t="shared" si="2"/>
        <v>Kyle</v>
      </c>
    </row>
    <row r="7" outlineLevel="1">
      <c r="A7" s="1" t="s">
        <v>9</v>
      </c>
      <c r="B7" s="1">
        <v>81.2</v>
      </c>
      <c r="C7" s="1" t="s">
        <v>15</v>
      </c>
      <c r="D7" s="1">
        <v>141.65</v>
      </c>
      <c r="E7" s="1">
        <v>2019.0</v>
      </c>
      <c r="F7" s="1">
        <v>2.0</v>
      </c>
      <c r="G7" s="1" t="str">
        <f t="shared" si="1"/>
        <v>Connor</v>
      </c>
      <c r="H7" s="2" t="str">
        <f t="shared" si="2"/>
        <v>Kadin</v>
      </c>
    </row>
    <row r="8" outlineLevel="1">
      <c r="A8" s="1" t="s">
        <v>14</v>
      </c>
      <c r="B8" s="1">
        <v>121.8</v>
      </c>
      <c r="C8" s="1" t="s">
        <v>12</v>
      </c>
      <c r="D8" s="1">
        <v>129.45</v>
      </c>
      <c r="E8" s="1">
        <v>2019.0</v>
      </c>
      <c r="F8" s="1">
        <v>2.0</v>
      </c>
      <c r="G8" s="1" t="str">
        <f t="shared" si="1"/>
        <v>Ruben</v>
      </c>
      <c r="H8" s="2" t="str">
        <f t="shared" si="2"/>
        <v>Griffin</v>
      </c>
    </row>
    <row r="9" outlineLevel="1">
      <c r="A9" s="1" t="s">
        <v>11</v>
      </c>
      <c r="B9" s="1">
        <v>89.2</v>
      </c>
      <c r="C9" s="1" t="s">
        <v>16</v>
      </c>
      <c r="D9" s="1">
        <v>143.35</v>
      </c>
      <c r="E9" s="1">
        <v>2019.0</v>
      </c>
      <c r="F9" s="1">
        <v>2.0</v>
      </c>
      <c r="G9" s="1" t="str">
        <f t="shared" si="1"/>
        <v>Kyle</v>
      </c>
      <c r="H9" s="2" t="str">
        <f t="shared" si="2"/>
        <v>Mitch</v>
      </c>
    </row>
    <row r="10" outlineLevel="1">
      <c r="A10" s="1" t="s">
        <v>10</v>
      </c>
      <c r="B10" s="1">
        <v>134.5</v>
      </c>
      <c r="C10" s="1" t="s">
        <v>8</v>
      </c>
      <c r="D10" s="1">
        <v>133.55</v>
      </c>
      <c r="E10" s="1">
        <v>2019.0</v>
      </c>
      <c r="F10" s="1">
        <v>2.0</v>
      </c>
      <c r="G10" s="1" t="str">
        <f t="shared" si="1"/>
        <v>Jacob</v>
      </c>
      <c r="H10" s="2" t="str">
        <f t="shared" si="2"/>
        <v>Luke</v>
      </c>
    </row>
    <row r="11" outlineLevel="1">
      <c r="A11" s="1" t="s">
        <v>13</v>
      </c>
      <c r="B11" s="1">
        <v>107.25</v>
      </c>
      <c r="C11" s="1" t="s">
        <v>17</v>
      </c>
      <c r="D11" s="1">
        <v>113.0</v>
      </c>
      <c r="E11" s="1">
        <v>2019.0</v>
      </c>
      <c r="F11" s="1">
        <v>2.0</v>
      </c>
      <c r="G11" s="1" t="str">
        <f t="shared" si="1"/>
        <v>Michael</v>
      </c>
      <c r="H11" s="2" t="str">
        <f t="shared" si="2"/>
        <v>Raghav</v>
      </c>
    </row>
    <row r="12" outlineLevel="1">
      <c r="A12" s="1" t="s">
        <v>9</v>
      </c>
      <c r="B12" s="1">
        <v>130.7</v>
      </c>
      <c r="C12" s="1" t="s">
        <v>14</v>
      </c>
      <c r="D12" s="1">
        <v>138.7</v>
      </c>
      <c r="E12" s="1">
        <v>2019.0</v>
      </c>
      <c r="F12" s="1">
        <v>3.0</v>
      </c>
      <c r="G12" s="1" t="str">
        <f t="shared" si="1"/>
        <v>Griffin</v>
      </c>
      <c r="H12" s="2" t="str">
        <f t="shared" si="2"/>
        <v>Kadin</v>
      </c>
    </row>
    <row r="13" outlineLevel="1">
      <c r="A13" s="1" t="s">
        <v>8</v>
      </c>
      <c r="B13" s="1">
        <v>184.0</v>
      </c>
      <c r="C13" s="1" t="s">
        <v>16</v>
      </c>
      <c r="D13" s="1">
        <v>107.45</v>
      </c>
      <c r="E13" s="1">
        <v>2019.0</v>
      </c>
      <c r="F13" s="1">
        <v>3.0</v>
      </c>
      <c r="G13" s="1" t="str">
        <f t="shared" si="1"/>
        <v>Luke</v>
      </c>
      <c r="H13" s="2" t="str">
        <f t="shared" si="2"/>
        <v>Kyle</v>
      </c>
    </row>
    <row r="14" outlineLevel="1">
      <c r="A14" s="1" t="s">
        <v>17</v>
      </c>
      <c r="B14" s="1">
        <v>126.4</v>
      </c>
      <c r="C14" s="1" t="s">
        <v>12</v>
      </c>
      <c r="D14" s="1">
        <v>132.3</v>
      </c>
      <c r="E14" s="1">
        <v>2019.0</v>
      </c>
      <c r="F14" s="1">
        <v>3.0</v>
      </c>
      <c r="G14" s="1" t="str">
        <f t="shared" si="1"/>
        <v>Ruben</v>
      </c>
      <c r="H14" s="2" t="str">
        <f t="shared" si="2"/>
        <v>Michael</v>
      </c>
    </row>
    <row r="15" outlineLevel="1">
      <c r="A15" s="1" t="s">
        <v>13</v>
      </c>
      <c r="B15" s="1">
        <v>126.75</v>
      </c>
      <c r="C15" s="1" t="s">
        <v>11</v>
      </c>
      <c r="D15" s="1">
        <v>167.9</v>
      </c>
      <c r="E15" s="1">
        <v>2019.0</v>
      </c>
      <c r="F15" s="1">
        <v>3.0</v>
      </c>
      <c r="G15" s="1" t="str">
        <f t="shared" si="1"/>
        <v>Mitch</v>
      </c>
      <c r="H15" s="2" t="str">
        <f t="shared" si="2"/>
        <v>Raghav</v>
      </c>
    </row>
    <row r="16" outlineLevel="1">
      <c r="A16" s="1" t="s">
        <v>15</v>
      </c>
      <c r="B16" s="1">
        <v>119.35</v>
      </c>
      <c r="C16" s="1" t="s">
        <v>10</v>
      </c>
      <c r="D16" s="1">
        <v>91.75</v>
      </c>
      <c r="E16" s="1">
        <v>2019.0</v>
      </c>
      <c r="F16" s="1">
        <v>3.0</v>
      </c>
      <c r="G16" s="1" t="str">
        <f t="shared" si="1"/>
        <v>Connor</v>
      </c>
      <c r="H16" s="2" t="str">
        <f t="shared" si="2"/>
        <v>Jacob</v>
      </c>
    </row>
    <row r="17" outlineLevel="1">
      <c r="A17" s="1" t="s">
        <v>9</v>
      </c>
      <c r="B17" s="1">
        <v>164.15</v>
      </c>
      <c r="C17" s="1" t="s">
        <v>17</v>
      </c>
      <c r="D17" s="1">
        <v>113.05</v>
      </c>
      <c r="E17" s="1">
        <v>2019.0</v>
      </c>
      <c r="F17" s="1">
        <v>4.0</v>
      </c>
      <c r="G17" s="1" t="str">
        <f t="shared" si="1"/>
        <v>Kadin</v>
      </c>
      <c r="H17" s="2" t="str">
        <f t="shared" si="2"/>
        <v>Michael</v>
      </c>
    </row>
    <row r="18" outlineLevel="1">
      <c r="A18" s="1" t="s">
        <v>16</v>
      </c>
      <c r="B18" s="1">
        <v>133.8</v>
      </c>
      <c r="C18" s="1" t="s">
        <v>13</v>
      </c>
      <c r="D18" s="1">
        <v>145.1</v>
      </c>
      <c r="E18" s="1">
        <v>2019.0</v>
      </c>
      <c r="F18" s="1">
        <v>4.0</v>
      </c>
      <c r="G18" s="1" t="str">
        <f t="shared" si="1"/>
        <v>Raghav</v>
      </c>
      <c r="H18" s="2" t="str">
        <f t="shared" si="2"/>
        <v>Kyle</v>
      </c>
    </row>
    <row r="19" outlineLevel="1">
      <c r="A19" s="1" t="s">
        <v>8</v>
      </c>
      <c r="B19" s="1">
        <v>100.25</v>
      </c>
      <c r="C19" s="1" t="s">
        <v>15</v>
      </c>
      <c r="D19" s="1">
        <v>100.05</v>
      </c>
      <c r="E19" s="1">
        <v>2019.0</v>
      </c>
      <c r="F19" s="1">
        <v>4.0</v>
      </c>
      <c r="G19" s="1" t="str">
        <f t="shared" si="1"/>
        <v>Luke</v>
      </c>
      <c r="H19" s="2" t="str">
        <f t="shared" si="2"/>
        <v>Connor</v>
      </c>
    </row>
    <row r="20" outlineLevel="1">
      <c r="A20" s="1" t="s">
        <v>12</v>
      </c>
      <c r="B20" s="1">
        <v>98.65</v>
      </c>
      <c r="C20" s="1" t="s">
        <v>11</v>
      </c>
      <c r="D20" s="1">
        <v>94.4</v>
      </c>
      <c r="E20" s="1">
        <v>2019.0</v>
      </c>
      <c r="F20" s="1">
        <v>4.0</v>
      </c>
      <c r="G20" s="1" t="str">
        <f t="shared" si="1"/>
        <v>Ruben</v>
      </c>
      <c r="H20" s="2" t="str">
        <f t="shared" si="2"/>
        <v>Mitch</v>
      </c>
    </row>
    <row r="21" outlineLevel="1">
      <c r="A21" s="1" t="s">
        <v>14</v>
      </c>
      <c r="B21" s="1">
        <v>127.65</v>
      </c>
      <c r="C21" s="1" t="s">
        <v>10</v>
      </c>
      <c r="D21" s="1">
        <v>125.65</v>
      </c>
      <c r="E21" s="1">
        <v>2019.0</v>
      </c>
      <c r="F21" s="1">
        <v>4.0</v>
      </c>
      <c r="G21" s="1" t="str">
        <f t="shared" si="1"/>
        <v>Griffin</v>
      </c>
      <c r="H21" s="2" t="str">
        <f t="shared" si="2"/>
        <v>Jacob</v>
      </c>
    </row>
    <row r="22" outlineLevel="1">
      <c r="A22" s="1" t="s">
        <v>9</v>
      </c>
      <c r="B22" s="1">
        <v>208.5</v>
      </c>
      <c r="C22" s="1" t="s">
        <v>10</v>
      </c>
      <c r="D22" s="1">
        <v>112.05</v>
      </c>
      <c r="E22" s="1">
        <v>2019.0</v>
      </c>
      <c r="F22" s="1">
        <v>5.0</v>
      </c>
      <c r="G22" s="1" t="str">
        <f t="shared" si="1"/>
        <v>Kadin</v>
      </c>
      <c r="H22" s="2" t="str">
        <f t="shared" si="2"/>
        <v>Jacob</v>
      </c>
    </row>
    <row r="23" outlineLevel="1">
      <c r="A23" s="1" t="s">
        <v>15</v>
      </c>
      <c r="B23" s="1">
        <v>200.6</v>
      </c>
      <c r="C23" s="1" t="s">
        <v>13</v>
      </c>
      <c r="D23" s="1">
        <v>106.45</v>
      </c>
      <c r="E23" s="1">
        <v>2019.0</v>
      </c>
      <c r="F23" s="1">
        <v>5.0</v>
      </c>
      <c r="G23" s="1" t="str">
        <f t="shared" si="1"/>
        <v>Connor</v>
      </c>
      <c r="H23" s="2" t="str">
        <f t="shared" si="2"/>
        <v>Raghav</v>
      </c>
    </row>
    <row r="24" outlineLevel="1">
      <c r="A24" s="1" t="s">
        <v>11</v>
      </c>
      <c r="B24" s="1">
        <v>128.3</v>
      </c>
      <c r="C24" s="1" t="s">
        <v>17</v>
      </c>
      <c r="D24" s="1">
        <v>113.35</v>
      </c>
      <c r="E24" s="1">
        <v>2019.0</v>
      </c>
      <c r="F24" s="1">
        <v>5.0</v>
      </c>
      <c r="G24" s="1" t="str">
        <f t="shared" si="1"/>
        <v>Mitch</v>
      </c>
      <c r="H24" s="2" t="str">
        <f t="shared" si="2"/>
        <v>Michael</v>
      </c>
    </row>
    <row r="25" outlineLevel="1">
      <c r="A25" s="1" t="s">
        <v>12</v>
      </c>
      <c r="B25" s="1">
        <v>129.7</v>
      </c>
      <c r="C25" s="1" t="s">
        <v>16</v>
      </c>
      <c r="D25" s="1">
        <v>91.1</v>
      </c>
      <c r="E25" s="1">
        <v>2019.0</v>
      </c>
      <c r="F25" s="1">
        <v>5.0</v>
      </c>
      <c r="G25" s="1" t="str">
        <f t="shared" si="1"/>
        <v>Ruben</v>
      </c>
      <c r="H25" s="2" t="str">
        <f t="shared" si="2"/>
        <v>Kyle</v>
      </c>
    </row>
    <row r="26" outlineLevel="1">
      <c r="A26" s="1" t="s">
        <v>14</v>
      </c>
      <c r="B26" s="1">
        <v>139.6</v>
      </c>
      <c r="C26" s="1" t="s">
        <v>8</v>
      </c>
      <c r="D26" s="1">
        <v>150.35</v>
      </c>
      <c r="E26" s="1">
        <v>2019.0</v>
      </c>
      <c r="F26" s="1">
        <v>5.0</v>
      </c>
      <c r="G26" s="1" t="str">
        <f t="shared" si="1"/>
        <v>Luke</v>
      </c>
      <c r="H26" s="2" t="str">
        <f t="shared" si="2"/>
        <v>Griffin</v>
      </c>
    </row>
    <row r="27" outlineLevel="1">
      <c r="A27" s="1" t="s">
        <v>9</v>
      </c>
      <c r="B27" s="1">
        <v>129.3</v>
      </c>
      <c r="C27" s="1" t="s">
        <v>13</v>
      </c>
      <c r="D27" s="1">
        <v>118.4</v>
      </c>
      <c r="E27" s="1">
        <v>2019.0</v>
      </c>
      <c r="F27" s="1">
        <v>6.0</v>
      </c>
      <c r="G27" s="1" t="str">
        <f t="shared" si="1"/>
        <v>Kadin</v>
      </c>
      <c r="H27" s="2" t="str">
        <f t="shared" si="2"/>
        <v>Raghav</v>
      </c>
    </row>
    <row r="28" outlineLevel="1">
      <c r="A28" s="1" t="s">
        <v>12</v>
      </c>
      <c r="B28" s="1">
        <v>82.5</v>
      </c>
      <c r="C28" s="1" t="s">
        <v>10</v>
      </c>
      <c r="D28" s="1">
        <v>141.9</v>
      </c>
      <c r="E28" s="1">
        <v>2019.0</v>
      </c>
      <c r="F28" s="1">
        <v>6.0</v>
      </c>
      <c r="G28" s="1" t="str">
        <f t="shared" si="1"/>
        <v>Jacob</v>
      </c>
      <c r="H28" s="2" t="str">
        <f t="shared" si="2"/>
        <v>Ruben</v>
      </c>
    </row>
    <row r="29" outlineLevel="1">
      <c r="A29" s="1" t="s">
        <v>16</v>
      </c>
      <c r="B29" s="1">
        <v>141.9</v>
      </c>
      <c r="C29" s="1" t="s">
        <v>14</v>
      </c>
      <c r="D29" s="1">
        <v>134.5</v>
      </c>
      <c r="E29" s="1">
        <v>2019.0</v>
      </c>
      <c r="F29" s="1">
        <v>6.0</v>
      </c>
      <c r="G29" s="1" t="str">
        <f t="shared" si="1"/>
        <v>Kyle</v>
      </c>
      <c r="H29" s="2" t="str">
        <f t="shared" si="2"/>
        <v>Griffin</v>
      </c>
    </row>
    <row r="30" outlineLevel="1">
      <c r="A30" s="1" t="s">
        <v>17</v>
      </c>
      <c r="B30" s="1">
        <v>127.65</v>
      </c>
      <c r="C30" s="1" t="s">
        <v>8</v>
      </c>
      <c r="D30" s="1">
        <v>132.5</v>
      </c>
      <c r="E30" s="1">
        <v>2019.0</v>
      </c>
      <c r="F30" s="1">
        <v>6.0</v>
      </c>
      <c r="G30" s="1" t="str">
        <f t="shared" si="1"/>
        <v>Luke</v>
      </c>
      <c r="H30" s="2" t="str">
        <f t="shared" si="2"/>
        <v>Michael</v>
      </c>
    </row>
    <row r="31" outlineLevel="1">
      <c r="A31" s="1" t="s">
        <v>11</v>
      </c>
      <c r="B31" s="1">
        <v>131.45</v>
      </c>
      <c r="C31" s="1" t="s">
        <v>15</v>
      </c>
      <c r="D31" s="1">
        <v>102.7</v>
      </c>
      <c r="E31" s="1">
        <v>2019.0</v>
      </c>
      <c r="F31" s="1">
        <v>6.0</v>
      </c>
      <c r="G31" s="1" t="str">
        <f t="shared" si="1"/>
        <v>Mitch</v>
      </c>
      <c r="H31" s="2" t="str">
        <f t="shared" si="2"/>
        <v>Connor</v>
      </c>
    </row>
    <row r="32" outlineLevel="1">
      <c r="A32" s="1" t="s">
        <v>9</v>
      </c>
      <c r="B32" s="1">
        <v>135.0</v>
      </c>
      <c r="C32" s="1" t="s">
        <v>11</v>
      </c>
      <c r="D32" s="1">
        <v>139.45</v>
      </c>
      <c r="E32" s="1">
        <v>2019.0</v>
      </c>
      <c r="F32" s="1">
        <v>7.0</v>
      </c>
      <c r="G32" s="1" t="str">
        <f t="shared" si="1"/>
        <v>Mitch</v>
      </c>
      <c r="H32" s="2" t="str">
        <f t="shared" si="2"/>
        <v>Kadin</v>
      </c>
    </row>
    <row r="33" outlineLevel="1">
      <c r="A33" s="1" t="s">
        <v>10</v>
      </c>
      <c r="B33" s="1">
        <v>109.15</v>
      </c>
      <c r="C33" s="1" t="s">
        <v>16</v>
      </c>
      <c r="D33" s="1">
        <v>84.3</v>
      </c>
      <c r="E33" s="1">
        <v>2019.0</v>
      </c>
      <c r="F33" s="1">
        <v>7.0</v>
      </c>
      <c r="G33" s="1" t="str">
        <f t="shared" si="1"/>
        <v>Jacob</v>
      </c>
      <c r="H33" s="2" t="str">
        <f t="shared" si="2"/>
        <v>Kyle</v>
      </c>
    </row>
    <row r="34" outlineLevel="1">
      <c r="A34" s="1" t="s">
        <v>14</v>
      </c>
      <c r="B34" s="1">
        <v>107.75</v>
      </c>
      <c r="C34" s="1" t="s">
        <v>17</v>
      </c>
      <c r="D34" s="1">
        <v>91.9</v>
      </c>
      <c r="E34" s="1">
        <v>2019.0</v>
      </c>
      <c r="F34" s="1">
        <v>7.0</v>
      </c>
      <c r="G34" s="1" t="str">
        <f t="shared" si="1"/>
        <v>Griffin</v>
      </c>
      <c r="H34" s="2" t="str">
        <f t="shared" si="2"/>
        <v>Michael</v>
      </c>
    </row>
    <row r="35" outlineLevel="1">
      <c r="A35" s="1" t="s">
        <v>8</v>
      </c>
      <c r="B35" s="1">
        <v>125.95</v>
      </c>
      <c r="C35" s="1" t="s">
        <v>13</v>
      </c>
      <c r="D35" s="1">
        <v>74.55</v>
      </c>
      <c r="E35" s="1">
        <v>2019.0</v>
      </c>
      <c r="F35" s="1">
        <v>7.0</v>
      </c>
      <c r="G35" s="1" t="str">
        <f t="shared" si="1"/>
        <v>Luke</v>
      </c>
      <c r="H35" s="2" t="str">
        <f t="shared" si="2"/>
        <v>Raghav</v>
      </c>
    </row>
    <row r="36" outlineLevel="1">
      <c r="A36" s="1" t="s">
        <v>15</v>
      </c>
      <c r="B36" s="1">
        <v>122.7</v>
      </c>
      <c r="C36" s="1" t="s">
        <v>12</v>
      </c>
      <c r="D36" s="1">
        <v>63.5</v>
      </c>
      <c r="E36" s="1">
        <v>2019.0</v>
      </c>
      <c r="F36" s="1">
        <v>7.0</v>
      </c>
      <c r="G36" s="1" t="str">
        <f t="shared" si="1"/>
        <v>Connor</v>
      </c>
      <c r="H36" s="2" t="str">
        <f t="shared" si="2"/>
        <v>Ruben</v>
      </c>
    </row>
    <row r="37" outlineLevel="1">
      <c r="A37" s="1" t="s">
        <v>9</v>
      </c>
      <c r="B37" s="1">
        <v>192.55</v>
      </c>
      <c r="C37" s="1" t="s">
        <v>12</v>
      </c>
      <c r="D37" s="1">
        <v>85.35</v>
      </c>
      <c r="E37" s="1">
        <v>2019.0</v>
      </c>
      <c r="F37" s="1">
        <v>8.0</v>
      </c>
      <c r="G37" s="1" t="str">
        <f t="shared" si="1"/>
        <v>Kadin</v>
      </c>
      <c r="H37" s="2" t="str">
        <f t="shared" si="2"/>
        <v>Ruben</v>
      </c>
    </row>
    <row r="38" outlineLevel="1">
      <c r="A38" s="1" t="s">
        <v>17</v>
      </c>
      <c r="B38" s="1">
        <v>100.45</v>
      </c>
      <c r="C38" s="1" t="s">
        <v>10</v>
      </c>
      <c r="D38" s="1">
        <v>104.7</v>
      </c>
      <c r="E38" s="1">
        <v>2019.0</v>
      </c>
      <c r="F38" s="1">
        <v>8.0</v>
      </c>
      <c r="G38" s="1" t="str">
        <f t="shared" si="1"/>
        <v>Jacob</v>
      </c>
      <c r="H38" s="2" t="str">
        <f t="shared" si="2"/>
        <v>Michael</v>
      </c>
    </row>
    <row r="39" outlineLevel="1">
      <c r="A39" s="1" t="s">
        <v>13</v>
      </c>
      <c r="B39" s="1">
        <v>97.0</v>
      </c>
      <c r="C39" s="1" t="s">
        <v>14</v>
      </c>
      <c r="D39" s="1">
        <v>137.65</v>
      </c>
      <c r="E39" s="1">
        <v>2019.0</v>
      </c>
      <c r="F39" s="1">
        <v>8.0</v>
      </c>
      <c r="G39" s="1" t="str">
        <f t="shared" si="1"/>
        <v>Griffin</v>
      </c>
      <c r="H39" s="2" t="str">
        <f t="shared" si="2"/>
        <v>Raghav</v>
      </c>
    </row>
    <row r="40" outlineLevel="1">
      <c r="A40" s="1" t="s">
        <v>11</v>
      </c>
      <c r="B40" s="1">
        <v>125.4</v>
      </c>
      <c r="C40" s="1" t="s">
        <v>8</v>
      </c>
      <c r="D40" s="1">
        <v>161.0</v>
      </c>
      <c r="E40" s="1">
        <v>2019.0</v>
      </c>
      <c r="F40" s="1">
        <v>8.0</v>
      </c>
      <c r="G40" s="1" t="str">
        <f t="shared" si="1"/>
        <v>Luke</v>
      </c>
      <c r="H40" s="2" t="str">
        <f t="shared" si="2"/>
        <v>Mitch</v>
      </c>
    </row>
    <row r="41" outlineLevel="1">
      <c r="A41" s="1" t="s">
        <v>16</v>
      </c>
      <c r="B41" s="1">
        <v>90.0</v>
      </c>
      <c r="C41" s="1" t="s">
        <v>15</v>
      </c>
      <c r="D41" s="1">
        <v>144.85</v>
      </c>
      <c r="E41" s="1">
        <v>2019.0</v>
      </c>
      <c r="F41" s="1">
        <v>8.0</v>
      </c>
      <c r="G41" s="1" t="str">
        <f t="shared" si="1"/>
        <v>Connor</v>
      </c>
      <c r="H41" s="2" t="str">
        <f t="shared" si="2"/>
        <v>Kyle</v>
      </c>
    </row>
    <row r="42" outlineLevel="1">
      <c r="A42" s="1" t="s">
        <v>9</v>
      </c>
      <c r="B42" s="1">
        <v>100.95</v>
      </c>
      <c r="C42" s="1" t="s">
        <v>8</v>
      </c>
      <c r="D42" s="1">
        <v>165.35</v>
      </c>
      <c r="E42" s="1">
        <v>2019.0</v>
      </c>
      <c r="F42" s="1">
        <v>9.0</v>
      </c>
      <c r="G42" s="1" t="str">
        <f t="shared" si="1"/>
        <v>Luke</v>
      </c>
      <c r="H42" s="2" t="str">
        <f t="shared" si="2"/>
        <v>Kadin</v>
      </c>
    </row>
    <row r="43" outlineLevel="1">
      <c r="A43" s="1" t="s">
        <v>10</v>
      </c>
      <c r="B43" s="1">
        <v>137.8</v>
      </c>
      <c r="C43" s="1" t="s">
        <v>13</v>
      </c>
      <c r="D43" s="1">
        <v>125.75</v>
      </c>
      <c r="E43" s="1">
        <v>2019.0</v>
      </c>
      <c r="F43" s="1">
        <v>9.0</v>
      </c>
      <c r="G43" s="1" t="str">
        <f t="shared" si="1"/>
        <v>Jacob</v>
      </c>
      <c r="H43" s="2" t="str">
        <f t="shared" si="2"/>
        <v>Raghav</v>
      </c>
    </row>
    <row r="44" outlineLevel="1">
      <c r="A44" s="1" t="s">
        <v>17</v>
      </c>
      <c r="B44" s="1">
        <v>87.25</v>
      </c>
      <c r="C44" s="1" t="s">
        <v>11</v>
      </c>
      <c r="D44" s="1">
        <v>136.7</v>
      </c>
      <c r="E44" s="1">
        <v>2019.0</v>
      </c>
      <c r="F44" s="1">
        <v>9.0</v>
      </c>
      <c r="G44" s="1" t="str">
        <f t="shared" si="1"/>
        <v>Mitch</v>
      </c>
      <c r="H44" s="2" t="str">
        <f t="shared" si="2"/>
        <v>Michael</v>
      </c>
    </row>
    <row r="45" outlineLevel="1">
      <c r="A45" s="1" t="s">
        <v>15</v>
      </c>
      <c r="B45" s="1">
        <v>134.15</v>
      </c>
      <c r="C45" s="1" t="s">
        <v>14</v>
      </c>
      <c r="D45" s="1">
        <v>127.35</v>
      </c>
      <c r="E45" s="1">
        <v>2019.0</v>
      </c>
      <c r="F45" s="1">
        <v>9.0</v>
      </c>
      <c r="G45" s="1" t="str">
        <f t="shared" si="1"/>
        <v>Connor</v>
      </c>
      <c r="H45" s="2" t="str">
        <f t="shared" si="2"/>
        <v>Griffin</v>
      </c>
    </row>
    <row r="46" outlineLevel="1">
      <c r="A46" s="1" t="s">
        <v>16</v>
      </c>
      <c r="B46" s="1">
        <v>106.55</v>
      </c>
      <c r="C46" s="1" t="s">
        <v>12</v>
      </c>
      <c r="D46" s="1">
        <v>56.3</v>
      </c>
      <c r="E46" s="1">
        <v>2019.0</v>
      </c>
      <c r="F46" s="1">
        <v>9.0</v>
      </c>
      <c r="G46" s="1" t="str">
        <f t="shared" si="1"/>
        <v>Kyle</v>
      </c>
      <c r="H46" s="2" t="str">
        <f t="shared" si="2"/>
        <v>Ruben</v>
      </c>
    </row>
    <row r="47" outlineLevel="1">
      <c r="A47" s="1" t="s">
        <v>9</v>
      </c>
      <c r="B47" s="1">
        <v>138.35</v>
      </c>
      <c r="C47" s="1" t="s">
        <v>15</v>
      </c>
      <c r="D47" s="1">
        <v>153.8</v>
      </c>
      <c r="E47" s="1">
        <v>2019.0</v>
      </c>
      <c r="F47" s="1">
        <v>10.0</v>
      </c>
      <c r="G47" s="1" t="str">
        <f t="shared" si="1"/>
        <v>Connor</v>
      </c>
      <c r="H47" s="2" t="str">
        <f t="shared" si="2"/>
        <v>Kadin</v>
      </c>
    </row>
    <row r="48" outlineLevel="1">
      <c r="A48" s="1" t="s">
        <v>14</v>
      </c>
      <c r="B48" s="1">
        <v>108.0</v>
      </c>
      <c r="C48" s="1" t="s">
        <v>11</v>
      </c>
      <c r="D48" s="1">
        <v>119.6</v>
      </c>
      <c r="E48" s="1">
        <v>2019.0</v>
      </c>
      <c r="F48" s="1">
        <v>10.0</v>
      </c>
      <c r="G48" s="1" t="str">
        <f t="shared" si="1"/>
        <v>Mitch</v>
      </c>
      <c r="H48" s="2" t="str">
        <f t="shared" si="2"/>
        <v>Griffin</v>
      </c>
    </row>
    <row r="49" outlineLevel="1">
      <c r="A49" s="1" t="s">
        <v>13</v>
      </c>
      <c r="B49" s="1">
        <v>143.8</v>
      </c>
      <c r="C49" s="1" t="s">
        <v>12</v>
      </c>
      <c r="D49" s="1">
        <v>111.1</v>
      </c>
      <c r="E49" s="1">
        <v>2019.0</v>
      </c>
      <c r="F49" s="1">
        <v>10.0</v>
      </c>
      <c r="G49" s="1" t="str">
        <f t="shared" si="1"/>
        <v>Raghav</v>
      </c>
      <c r="H49" s="2" t="str">
        <f t="shared" si="2"/>
        <v>Ruben</v>
      </c>
    </row>
    <row r="50" outlineLevel="1">
      <c r="A50" s="1" t="s">
        <v>8</v>
      </c>
      <c r="B50" s="1">
        <v>147.85</v>
      </c>
      <c r="C50" s="1" t="s">
        <v>10</v>
      </c>
      <c r="D50" s="1">
        <v>163.25</v>
      </c>
      <c r="E50" s="1">
        <v>2019.0</v>
      </c>
      <c r="F50" s="1">
        <v>10.0</v>
      </c>
      <c r="G50" s="1" t="str">
        <f t="shared" si="1"/>
        <v>Jacob</v>
      </c>
      <c r="H50" s="2" t="str">
        <f t="shared" si="2"/>
        <v>Luke</v>
      </c>
    </row>
    <row r="51" outlineLevel="1">
      <c r="A51" s="1" t="s">
        <v>17</v>
      </c>
      <c r="B51" s="1">
        <v>109.9</v>
      </c>
      <c r="C51" s="1" t="s">
        <v>16</v>
      </c>
      <c r="D51" s="1">
        <v>114.4</v>
      </c>
      <c r="E51" s="1">
        <v>2019.0</v>
      </c>
      <c r="F51" s="1">
        <v>10.0</v>
      </c>
      <c r="G51" s="1" t="str">
        <f t="shared" si="1"/>
        <v>Kyle</v>
      </c>
      <c r="H51" s="2" t="str">
        <f t="shared" si="2"/>
        <v>Michael</v>
      </c>
    </row>
    <row r="52" outlineLevel="1">
      <c r="A52" s="1" t="s">
        <v>9</v>
      </c>
      <c r="B52" s="1">
        <v>110.55</v>
      </c>
      <c r="C52" s="1" t="s">
        <v>14</v>
      </c>
      <c r="D52" s="1">
        <v>129.35</v>
      </c>
      <c r="E52" s="1">
        <v>2019.0</v>
      </c>
      <c r="F52" s="1">
        <v>11.0</v>
      </c>
      <c r="G52" s="1" t="str">
        <f t="shared" si="1"/>
        <v>Griffin</v>
      </c>
      <c r="H52" s="2" t="str">
        <f t="shared" si="2"/>
        <v>Kadin</v>
      </c>
    </row>
    <row r="53" outlineLevel="1">
      <c r="A53" s="1" t="s">
        <v>8</v>
      </c>
      <c r="B53" s="1">
        <v>131.4</v>
      </c>
      <c r="C53" s="1" t="s">
        <v>12</v>
      </c>
      <c r="D53" s="1">
        <v>100.3</v>
      </c>
      <c r="E53" s="1">
        <v>2019.0</v>
      </c>
      <c r="F53" s="1">
        <v>11.0</v>
      </c>
      <c r="G53" s="1" t="str">
        <f t="shared" si="1"/>
        <v>Luke</v>
      </c>
      <c r="H53" s="2" t="str">
        <f t="shared" si="2"/>
        <v>Ruben</v>
      </c>
    </row>
    <row r="54" outlineLevel="1">
      <c r="A54" s="1" t="s">
        <v>16</v>
      </c>
      <c r="B54" s="1">
        <v>99.0</v>
      </c>
      <c r="C54" s="1" t="s">
        <v>11</v>
      </c>
      <c r="D54" s="1">
        <v>136.9</v>
      </c>
      <c r="E54" s="1">
        <v>2019.0</v>
      </c>
      <c r="F54" s="1">
        <v>11.0</v>
      </c>
      <c r="G54" s="1" t="str">
        <f t="shared" si="1"/>
        <v>Mitch</v>
      </c>
      <c r="H54" s="2" t="str">
        <f t="shared" si="2"/>
        <v>Kyle</v>
      </c>
    </row>
    <row r="55" outlineLevel="1">
      <c r="A55" s="1" t="s">
        <v>17</v>
      </c>
      <c r="B55" s="1">
        <v>121.9</v>
      </c>
      <c r="C55" s="1" t="s">
        <v>13</v>
      </c>
      <c r="D55" s="1">
        <v>93.5</v>
      </c>
      <c r="E55" s="1">
        <v>2019.0</v>
      </c>
      <c r="F55" s="1">
        <v>11.0</v>
      </c>
      <c r="G55" s="1" t="str">
        <f t="shared" si="1"/>
        <v>Michael</v>
      </c>
      <c r="H55" s="2" t="str">
        <f t="shared" si="2"/>
        <v>Raghav</v>
      </c>
    </row>
    <row r="56" outlineLevel="1">
      <c r="A56" s="1" t="s">
        <v>10</v>
      </c>
      <c r="B56" s="1">
        <v>117.5</v>
      </c>
      <c r="C56" s="1" t="s">
        <v>15</v>
      </c>
      <c r="D56" s="1">
        <v>109.95</v>
      </c>
      <c r="E56" s="1">
        <v>2019.0</v>
      </c>
      <c r="F56" s="1">
        <v>11.0</v>
      </c>
      <c r="G56" s="1" t="str">
        <f t="shared" si="1"/>
        <v>Jacob</v>
      </c>
      <c r="H56" s="2" t="str">
        <f t="shared" si="2"/>
        <v>Connor</v>
      </c>
    </row>
    <row r="57" outlineLevel="1">
      <c r="A57" s="1" t="s">
        <v>9</v>
      </c>
      <c r="B57" s="1">
        <v>133.05</v>
      </c>
      <c r="C57" s="1" t="s">
        <v>16</v>
      </c>
      <c r="D57" s="1">
        <v>99.3</v>
      </c>
      <c r="E57" s="1">
        <v>2019.0</v>
      </c>
      <c r="F57" s="1">
        <v>12.0</v>
      </c>
      <c r="G57" s="1" t="str">
        <f t="shared" si="1"/>
        <v>Kadin</v>
      </c>
      <c r="H57" s="2" t="str">
        <f t="shared" si="2"/>
        <v>Kyle</v>
      </c>
    </row>
    <row r="58" outlineLevel="1">
      <c r="A58" s="1" t="s">
        <v>12</v>
      </c>
      <c r="B58" s="1">
        <v>130.85</v>
      </c>
      <c r="C58" s="1" t="s">
        <v>17</v>
      </c>
      <c r="D58" s="1">
        <v>132.3</v>
      </c>
      <c r="E58" s="1">
        <v>2019.0</v>
      </c>
      <c r="F58" s="1">
        <v>12.0</v>
      </c>
      <c r="G58" s="1" t="str">
        <f t="shared" si="1"/>
        <v>Michael</v>
      </c>
      <c r="H58" s="2" t="str">
        <f t="shared" si="2"/>
        <v>Ruben</v>
      </c>
    </row>
    <row r="59" outlineLevel="1">
      <c r="A59" s="1" t="s">
        <v>15</v>
      </c>
      <c r="B59" s="1">
        <v>119.9</v>
      </c>
      <c r="C59" s="1" t="s">
        <v>8</v>
      </c>
      <c r="D59" s="1">
        <v>162.55</v>
      </c>
      <c r="E59" s="1">
        <v>2019.0</v>
      </c>
      <c r="F59" s="1">
        <v>12.0</v>
      </c>
      <c r="G59" s="1" t="str">
        <f t="shared" si="1"/>
        <v>Luke</v>
      </c>
      <c r="H59" s="2" t="str">
        <f t="shared" si="2"/>
        <v>Connor</v>
      </c>
    </row>
    <row r="60" outlineLevel="1">
      <c r="A60" s="1" t="s">
        <v>11</v>
      </c>
      <c r="B60" s="1">
        <v>62.3</v>
      </c>
      <c r="C60" s="1" t="s">
        <v>13</v>
      </c>
      <c r="D60" s="1">
        <v>119.5</v>
      </c>
      <c r="E60" s="1">
        <v>2019.0</v>
      </c>
      <c r="F60" s="1">
        <v>12.0</v>
      </c>
      <c r="G60" s="1" t="str">
        <f t="shared" si="1"/>
        <v>Raghav</v>
      </c>
      <c r="H60" s="2" t="str">
        <f t="shared" si="2"/>
        <v>Mitch</v>
      </c>
    </row>
    <row r="61" outlineLevel="1">
      <c r="A61" s="1" t="s">
        <v>10</v>
      </c>
      <c r="B61" s="1">
        <v>150.75</v>
      </c>
      <c r="C61" s="1" t="s">
        <v>14</v>
      </c>
      <c r="D61" s="1">
        <v>117.75</v>
      </c>
      <c r="E61" s="1">
        <v>2019.0</v>
      </c>
      <c r="F61" s="1">
        <v>12.0</v>
      </c>
      <c r="G61" s="1" t="str">
        <f t="shared" si="1"/>
        <v>Jacob</v>
      </c>
      <c r="H61" s="2" t="str">
        <f t="shared" si="2"/>
        <v>Griffin</v>
      </c>
    </row>
    <row r="62" outlineLevel="1">
      <c r="A62" s="1" t="s">
        <v>9</v>
      </c>
      <c r="B62" s="1">
        <v>105.4</v>
      </c>
      <c r="C62" s="1" t="s">
        <v>10</v>
      </c>
      <c r="D62" s="1">
        <v>148.75</v>
      </c>
      <c r="E62" s="1">
        <v>2019.0</v>
      </c>
      <c r="F62" s="1">
        <v>13.0</v>
      </c>
      <c r="G62" s="1" t="str">
        <f t="shared" si="1"/>
        <v>Jacob</v>
      </c>
      <c r="H62" s="2" t="str">
        <f t="shared" si="2"/>
        <v>Kadin</v>
      </c>
    </row>
    <row r="63" outlineLevel="1">
      <c r="A63" s="1" t="s">
        <v>15</v>
      </c>
      <c r="B63" s="1">
        <v>119.6</v>
      </c>
      <c r="C63" s="1" t="s">
        <v>17</v>
      </c>
      <c r="D63" s="1">
        <v>119.15</v>
      </c>
      <c r="E63" s="1">
        <v>2019.0</v>
      </c>
      <c r="F63" s="1">
        <v>13.0</v>
      </c>
      <c r="G63" s="1" t="str">
        <f t="shared" si="1"/>
        <v>Connor</v>
      </c>
      <c r="H63" s="2" t="str">
        <f t="shared" si="2"/>
        <v>Michael</v>
      </c>
    </row>
    <row r="64" outlineLevel="1">
      <c r="A64" s="1" t="s">
        <v>13</v>
      </c>
      <c r="B64" s="1">
        <v>121.1</v>
      </c>
      <c r="C64" s="1" t="s">
        <v>16</v>
      </c>
      <c r="D64" s="1">
        <v>100.15</v>
      </c>
      <c r="E64" s="1">
        <v>2019.0</v>
      </c>
      <c r="F64" s="1">
        <v>13.0</v>
      </c>
      <c r="G64" s="1" t="str">
        <f t="shared" si="1"/>
        <v>Raghav</v>
      </c>
      <c r="H64" s="2" t="str">
        <f t="shared" si="2"/>
        <v>Kyle</v>
      </c>
    </row>
    <row r="65" outlineLevel="1">
      <c r="A65" s="1" t="s">
        <v>11</v>
      </c>
      <c r="B65" s="1">
        <v>95.3</v>
      </c>
      <c r="C65" s="1" t="s">
        <v>12</v>
      </c>
      <c r="D65" s="1">
        <v>90.35</v>
      </c>
      <c r="E65" s="1">
        <v>2019.0</v>
      </c>
      <c r="F65" s="1">
        <v>13.0</v>
      </c>
      <c r="G65" s="1" t="str">
        <f t="shared" si="1"/>
        <v>Mitch</v>
      </c>
      <c r="H65" s="2" t="str">
        <f t="shared" si="2"/>
        <v>Ruben</v>
      </c>
    </row>
    <row r="66" outlineLevel="1">
      <c r="A66" s="1" t="s">
        <v>8</v>
      </c>
      <c r="B66" s="1">
        <v>136.2</v>
      </c>
      <c r="C66" s="1" t="s">
        <v>14</v>
      </c>
      <c r="D66" s="1">
        <v>106.65</v>
      </c>
      <c r="E66" s="1">
        <v>2019.0</v>
      </c>
      <c r="F66" s="1">
        <v>13.0</v>
      </c>
      <c r="G66" s="1" t="str">
        <f t="shared" si="1"/>
        <v>Luke</v>
      </c>
      <c r="H66" s="2" t="str">
        <f t="shared" si="2"/>
        <v>Griffin</v>
      </c>
    </row>
    <row r="67" outlineLevel="1">
      <c r="A67" s="1" t="s">
        <v>9</v>
      </c>
      <c r="B67" s="1">
        <v>208.25</v>
      </c>
      <c r="C67" s="1" t="s">
        <v>15</v>
      </c>
      <c r="D67" s="1">
        <v>89.6</v>
      </c>
      <c r="E67" s="1">
        <v>2019.0</v>
      </c>
      <c r="F67" s="1">
        <v>14.0</v>
      </c>
      <c r="G67" s="1" t="str">
        <f t="shared" si="1"/>
        <v>Kadin</v>
      </c>
      <c r="H67" s="2" t="str">
        <f t="shared" si="2"/>
        <v>Connor</v>
      </c>
    </row>
    <row r="68" outlineLevel="1">
      <c r="A68" s="1" t="s">
        <v>8</v>
      </c>
      <c r="B68" s="1">
        <v>118.65</v>
      </c>
      <c r="C68" s="1" t="s">
        <v>14</v>
      </c>
      <c r="D68" s="1">
        <v>149.25</v>
      </c>
      <c r="E68" s="1">
        <v>2019.0</v>
      </c>
      <c r="F68" s="1">
        <v>14.0</v>
      </c>
      <c r="G68" s="1" t="str">
        <f t="shared" si="1"/>
        <v>Griffin</v>
      </c>
      <c r="H68" s="2" t="str">
        <f t="shared" si="2"/>
        <v>Luke</v>
      </c>
    </row>
    <row r="69" outlineLevel="1">
      <c r="A69" s="1" t="s">
        <v>9</v>
      </c>
      <c r="B69" s="1">
        <v>146.75</v>
      </c>
      <c r="C69" s="1" t="s">
        <v>10</v>
      </c>
      <c r="D69" s="1">
        <v>182.3</v>
      </c>
      <c r="E69" s="1">
        <v>2019.0</v>
      </c>
      <c r="F69" s="1">
        <v>15.0</v>
      </c>
      <c r="G69" s="1" t="str">
        <f t="shared" si="1"/>
        <v>Jacob</v>
      </c>
      <c r="H69" s="2" t="str">
        <f t="shared" si="2"/>
        <v>Kadin</v>
      </c>
    </row>
    <row r="70" outlineLevel="1">
      <c r="A70" s="1" t="s">
        <v>13</v>
      </c>
      <c r="B70" s="1">
        <v>100.6</v>
      </c>
      <c r="C70" s="1" t="s">
        <v>12</v>
      </c>
      <c r="D70" s="1">
        <v>98.85</v>
      </c>
      <c r="E70" s="1">
        <v>2019.0</v>
      </c>
      <c r="F70" s="1">
        <v>15.0</v>
      </c>
      <c r="G70" s="1" t="str">
        <f t="shared" si="1"/>
        <v>Raghav</v>
      </c>
      <c r="H70" s="2" t="str">
        <f t="shared" si="2"/>
        <v>Ruben</v>
      </c>
    </row>
    <row r="71" outlineLevel="1">
      <c r="A71" s="1" t="s">
        <v>16</v>
      </c>
      <c r="B71" s="1">
        <v>84.25</v>
      </c>
      <c r="C71" s="1" t="s">
        <v>17</v>
      </c>
      <c r="D71" s="1">
        <v>125.6</v>
      </c>
      <c r="E71" s="1">
        <v>2019.0</v>
      </c>
      <c r="F71" s="1">
        <v>15.0</v>
      </c>
      <c r="G71" s="1" t="str">
        <f t="shared" si="1"/>
        <v>Michael</v>
      </c>
      <c r="H71" s="2" t="str">
        <f t="shared" si="2"/>
        <v>Kyle</v>
      </c>
    </row>
    <row r="72" outlineLevel="1">
      <c r="A72" s="1" t="s">
        <v>14</v>
      </c>
      <c r="B72" s="1">
        <v>184.0</v>
      </c>
      <c r="C72" s="1" t="s">
        <v>11</v>
      </c>
      <c r="D72" s="1">
        <v>135.6</v>
      </c>
      <c r="E72" s="1">
        <v>2019.0</v>
      </c>
      <c r="F72" s="1">
        <v>15.0</v>
      </c>
      <c r="G72" s="1" t="str">
        <f t="shared" si="1"/>
        <v>Griffin</v>
      </c>
      <c r="H72" s="2" t="str">
        <f t="shared" si="2"/>
        <v>Mitch</v>
      </c>
    </row>
    <row r="73" outlineLevel="1">
      <c r="A73" s="1" t="s">
        <v>9</v>
      </c>
      <c r="B73" s="1">
        <v>136.15</v>
      </c>
      <c r="C73" s="1" t="s">
        <v>11</v>
      </c>
      <c r="D73" s="1">
        <v>126.35</v>
      </c>
      <c r="E73" s="1">
        <v>2019.0</v>
      </c>
      <c r="F73" s="1">
        <v>16.0</v>
      </c>
      <c r="G73" s="1" t="str">
        <f t="shared" si="1"/>
        <v>Kadin</v>
      </c>
      <c r="H73" s="2" t="str">
        <f t="shared" si="2"/>
        <v>Mitch</v>
      </c>
    </row>
    <row r="74" outlineLevel="1">
      <c r="A74" s="1" t="s">
        <v>13</v>
      </c>
      <c r="B74" s="1">
        <v>85.55</v>
      </c>
      <c r="C74" s="1" t="s">
        <v>17</v>
      </c>
      <c r="D74" s="1">
        <v>108.75</v>
      </c>
      <c r="E74" s="1">
        <v>2019.0</v>
      </c>
      <c r="F74" s="1">
        <v>16.0</v>
      </c>
      <c r="G74" s="1" t="str">
        <f t="shared" si="1"/>
        <v>Michael</v>
      </c>
      <c r="H74" s="2" t="str">
        <f t="shared" si="2"/>
        <v>Raghav</v>
      </c>
    </row>
    <row r="75" outlineLevel="1">
      <c r="A75" s="1" t="s">
        <v>12</v>
      </c>
      <c r="B75" s="1">
        <v>101.4</v>
      </c>
      <c r="C75" s="1" t="s">
        <v>16</v>
      </c>
      <c r="D75" s="1">
        <v>142.1</v>
      </c>
      <c r="E75" s="1">
        <v>2019.0</v>
      </c>
      <c r="F75" s="1">
        <v>16.0</v>
      </c>
      <c r="G75" s="1" t="str">
        <f t="shared" si="1"/>
        <v>Kyle</v>
      </c>
      <c r="H75" s="2" t="str">
        <f t="shared" si="2"/>
        <v>Ruben</v>
      </c>
    </row>
    <row r="76" outlineLevel="1">
      <c r="A76" s="1" t="s">
        <v>10</v>
      </c>
      <c r="B76" s="1">
        <v>111.9</v>
      </c>
      <c r="C76" s="1" t="s">
        <v>14</v>
      </c>
      <c r="D76" s="1">
        <v>139.7</v>
      </c>
      <c r="E76" s="1">
        <v>2019.0</v>
      </c>
      <c r="F76" s="1">
        <v>16.0</v>
      </c>
      <c r="G76" s="1" t="str">
        <f t="shared" si="1"/>
        <v>Griffin</v>
      </c>
      <c r="H76" s="2" t="str">
        <f t="shared" si="2"/>
        <v>Jacob</v>
      </c>
    </row>
    <row r="77" outlineLevel="1">
      <c r="A77" s="1" t="s">
        <v>15</v>
      </c>
      <c r="B77" s="1">
        <v>127.6</v>
      </c>
      <c r="C77" s="1" t="s">
        <v>8</v>
      </c>
      <c r="D77" s="1">
        <v>158.25</v>
      </c>
      <c r="E77" s="1">
        <v>2019.0</v>
      </c>
      <c r="F77" s="1">
        <v>16.0</v>
      </c>
      <c r="G77" s="1" t="str">
        <f t="shared" si="1"/>
        <v>Luke</v>
      </c>
      <c r="H77" s="2" t="str">
        <f t="shared" si="2"/>
        <v>Connor</v>
      </c>
    </row>
    <row r="78" outlineLevel="1">
      <c r="A78" s="1" t="s">
        <v>9</v>
      </c>
      <c r="B78" s="1">
        <v>125.9</v>
      </c>
      <c r="C78" s="1" t="s">
        <v>12</v>
      </c>
      <c r="D78" s="1">
        <v>122.95</v>
      </c>
      <c r="E78" s="1">
        <v>2020.0</v>
      </c>
      <c r="F78" s="1">
        <v>1.0</v>
      </c>
      <c r="G78" s="1" t="str">
        <f t="shared" si="1"/>
        <v>Kadin</v>
      </c>
      <c r="H78" s="2" t="str">
        <f t="shared" si="2"/>
        <v>Ruben</v>
      </c>
    </row>
    <row r="79" outlineLevel="1">
      <c r="A79" s="1" t="s">
        <v>10</v>
      </c>
      <c r="B79" s="1">
        <v>170.4</v>
      </c>
      <c r="C79" s="1" t="s">
        <v>14</v>
      </c>
      <c r="D79" s="1">
        <v>157.7</v>
      </c>
      <c r="E79" s="1">
        <v>2020.0</v>
      </c>
      <c r="F79" s="1">
        <v>1.0</v>
      </c>
      <c r="G79" s="1" t="str">
        <f t="shared" si="1"/>
        <v>Jacob</v>
      </c>
      <c r="H79" s="2" t="str">
        <f t="shared" si="2"/>
        <v>Griffin</v>
      </c>
    </row>
    <row r="80" outlineLevel="1">
      <c r="A80" s="1" t="s">
        <v>11</v>
      </c>
      <c r="B80" s="1">
        <v>122.8</v>
      </c>
      <c r="C80" s="1" t="s">
        <v>18</v>
      </c>
      <c r="D80" s="1">
        <v>119.65</v>
      </c>
      <c r="E80" s="1">
        <v>2020.0</v>
      </c>
      <c r="F80" s="1">
        <v>1.0</v>
      </c>
      <c r="G80" s="1" t="str">
        <f t="shared" si="1"/>
        <v>Mitch</v>
      </c>
      <c r="H80" s="2" t="str">
        <f t="shared" si="2"/>
        <v>Andrew</v>
      </c>
    </row>
    <row r="81" outlineLevel="1">
      <c r="A81" s="1" t="s">
        <v>8</v>
      </c>
      <c r="B81" s="1">
        <v>104.5</v>
      </c>
      <c r="C81" s="1" t="s">
        <v>19</v>
      </c>
      <c r="D81" s="1">
        <v>145.95</v>
      </c>
      <c r="E81" s="1">
        <v>2020.0</v>
      </c>
      <c r="F81" s="1">
        <v>1.0</v>
      </c>
      <c r="G81" s="1" t="str">
        <f t="shared" si="1"/>
        <v>Nick</v>
      </c>
      <c r="H81" s="2" t="str">
        <f t="shared" si="2"/>
        <v>Luke</v>
      </c>
    </row>
    <row r="82" outlineLevel="1">
      <c r="A82" s="1" t="s">
        <v>15</v>
      </c>
      <c r="B82" s="1">
        <v>129.1</v>
      </c>
      <c r="C82" s="1" t="s">
        <v>16</v>
      </c>
      <c r="D82" s="1">
        <v>130.15</v>
      </c>
      <c r="E82" s="1">
        <v>2020.0</v>
      </c>
      <c r="F82" s="1">
        <v>1.0</v>
      </c>
      <c r="G82" s="1" t="str">
        <f t="shared" si="1"/>
        <v>Kyle</v>
      </c>
      <c r="H82" s="2" t="str">
        <f t="shared" si="2"/>
        <v>Connor</v>
      </c>
    </row>
    <row r="83" outlineLevel="1">
      <c r="A83" s="1" t="s">
        <v>9</v>
      </c>
      <c r="B83" s="1">
        <v>178.5</v>
      </c>
      <c r="C83" s="1" t="s">
        <v>10</v>
      </c>
      <c r="D83" s="1">
        <v>135.2</v>
      </c>
      <c r="E83" s="1">
        <v>2020.0</v>
      </c>
      <c r="F83" s="1">
        <v>2.0</v>
      </c>
      <c r="G83" s="1" t="str">
        <f t="shared" si="1"/>
        <v>Kadin</v>
      </c>
      <c r="H83" s="2" t="str">
        <f t="shared" si="2"/>
        <v>Jacob</v>
      </c>
    </row>
    <row r="84" outlineLevel="1">
      <c r="A84" s="1" t="s">
        <v>8</v>
      </c>
      <c r="B84" s="1">
        <v>169.3</v>
      </c>
      <c r="C84" s="1" t="s">
        <v>11</v>
      </c>
      <c r="D84" s="1">
        <v>155.2</v>
      </c>
      <c r="E84" s="1">
        <v>2020.0</v>
      </c>
      <c r="F84" s="1">
        <v>2.0</v>
      </c>
      <c r="G84" s="1" t="str">
        <f t="shared" si="1"/>
        <v>Luke</v>
      </c>
      <c r="H84" s="2" t="str">
        <f t="shared" si="2"/>
        <v>Mitch</v>
      </c>
    </row>
    <row r="85" outlineLevel="1">
      <c r="A85" s="1" t="s">
        <v>14</v>
      </c>
      <c r="B85" s="1">
        <v>127.8</v>
      </c>
      <c r="C85" s="1" t="s">
        <v>15</v>
      </c>
      <c r="D85" s="1">
        <v>141.55</v>
      </c>
      <c r="E85" s="1">
        <v>2020.0</v>
      </c>
      <c r="F85" s="1">
        <v>2.0</v>
      </c>
      <c r="G85" s="1" t="str">
        <f t="shared" si="1"/>
        <v>Connor</v>
      </c>
      <c r="H85" s="2" t="str">
        <f t="shared" si="2"/>
        <v>Griffin</v>
      </c>
    </row>
    <row r="86" outlineLevel="1">
      <c r="A86" s="1" t="s">
        <v>18</v>
      </c>
      <c r="B86" s="1">
        <v>97.75</v>
      </c>
      <c r="C86" s="1" t="s">
        <v>16</v>
      </c>
      <c r="D86" s="1">
        <v>123.2</v>
      </c>
      <c r="E86" s="1">
        <v>2020.0</v>
      </c>
      <c r="F86" s="1">
        <v>2.0</v>
      </c>
      <c r="G86" s="1" t="str">
        <f t="shared" si="1"/>
        <v>Kyle</v>
      </c>
      <c r="H86" s="2" t="str">
        <f t="shared" si="2"/>
        <v>Andrew</v>
      </c>
    </row>
    <row r="87" outlineLevel="1">
      <c r="A87" s="1" t="s">
        <v>19</v>
      </c>
      <c r="B87" s="1">
        <v>134.1</v>
      </c>
      <c r="C87" s="1" t="s">
        <v>12</v>
      </c>
      <c r="D87" s="1">
        <v>130.0</v>
      </c>
      <c r="E87" s="1">
        <v>2020.0</v>
      </c>
      <c r="F87" s="1">
        <v>2.0</v>
      </c>
      <c r="G87" s="1" t="str">
        <f t="shared" si="1"/>
        <v>Nick</v>
      </c>
      <c r="H87" s="2" t="str">
        <f t="shared" si="2"/>
        <v>Ruben</v>
      </c>
    </row>
    <row r="88" outlineLevel="1">
      <c r="A88" s="1" t="s">
        <v>9</v>
      </c>
      <c r="B88" s="1">
        <v>135.85</v>
      </c>
      <c r="C88" s="1" t="s">
        <v>15</v>
      </c>
      <c r="D88" s="1">
        <v>152.75</v>
      </c>
      <c r="E88" s="1">
        <v>2020.0</v>
      </c>
      <c r="F88" s="1">
        <v>3.0</v>
      </c>
      <c r="G88" s="1" t="str">
        <f t="shared" si="1"/>
        <v>Connor</v>
      </c>
      <c r="H88" s="2" t="str">
        <f t="shared" si="2"/>
        <v>Kadin</v>
      </c>
    </row>
    <row r="89" outlineLevel="1">
      <c r="A89" s="1" t="s">
        <v>16</v>
      </c>
      <c r="B89" s="1">
        <v>122.35</v>
      </c>
      <c r="C89" s="1" t="s">
        <v>11</v>
      </c>
      <c r="D89" s="1">
        <v>104.35</v>
      </c>
      <c r="E89" s="1">
        <v>2020.0</v>
      </c>
      <c r="F89" s="1">
        <v>3.0</v>
      </c>
      <c r="G89" s="1" t="str">
        <f t="shared" si="1"/>
        <v>Kyle</v>
      </c>
      <c r="H89" s="2" t="str">
        <f t="shared" si="2"/>
        <v>Mitch</v>
      </c>
    </row>
    <row r="90" outlineLevel="1">
      <c r="A90" s="1" t="s">
        <v>12</v>
      </c>
      <c r="B90" s="1">
        <v>168.85</v>
      </c>
      <c r="C90" s="1" t="s">
        <v>8</v>
      </c>
      <c r="D90" s="1">
        <v>146.2</v>
      </c>
      <c r="E90" s="1">
        <v>2020.0</v>
      </c>
      <c r="F90" s="1">
        <v>3.0</v>
      </c>
      <c r="G90" s="1" t="str">
        <f t="shared" si="1"/>
        <v>Ruben</v>
      </c>
      <c r="H90" s="2" t="str">
        <f t="shared" si="2"/>
        <v>Luke</v>
      </c>
    </row>
    <row r="91" outlineLevel="1">
      <c r="A91" s="1" t="s">
        <v>18</v>
      </c>
      <c r="B91" s="1">
        <v>125.1</v>
      </c>
      <c r="C91" s="1" t="s">
        <v>14</v>
      </c>
      <c r="D91" s="1">
        <v>159.7</v>
      </c>
      <c r="E91" s="1">
        <v>2020.0</v>
      </c>
      <c r="F91" s="1">
        <v>3.0</v>
      </c>
      <c r="G91" s="1" t="str">
        <f t="shared" si="1"/>
        <v>Griffin</v>
      </c>
      <c r="H91" s="2" t="str">
        <f t="shared" si="2"/>
        <v>Andrew</v>
      </c>
    </row>
    <row r="92" outlineLevel="1">
      <c r="A92" s="1" t="s">
        <v>19</v>
      </c>
      <c r="B92" s="1">
        <v>123.05</v>
      </c>
      <c r="C92" s="1" t="s">
        <v>10</v>
      </c>
      <c r="D92" s="1">
        <v>103.2</v>
      </c>
      <c r="E92" s="1">
        <v>2020.0</v>
      </c>
      <c r="F92" s="1">
        <v>3.0</v>
      </c>
      <c r="G92" s="1" t="str">
        <f t="shared" si="1"/>
        <v>Nick</v>
      </c>
      <c r="H92" s="2" t="str">
        <f t="shared" si="2"/>
        <v>Jacob</v>
      </c>
    </row>
    <row r="93" outlineLevel="1">
      <c r="A93" s="1" t="s">
        <v>9</v>
      </c>
      <c r="B93" s="1">
        <v>127.9</v>
      </c>
      <c r="C93" s="1" t="s">
        <v>19</v>
      </c>
      <c r="D93" s="1">
        <v>114.05</v>
      </c>
      <c r="E93" s="1">
        <v>2020.0</v>
      </c>
      <c r="F93" s="1">
        <v>4.0</v>
      </c>
      <c r="G93" s="1" t="str">
        <f t="shared" si="1"/>
        <v>Kadin</v>
      </c>
      <c r="H93" s="2" t="str">
        <f t="shared" si="2"/>
        <v>Nick</v>
      </c>
    </row>
    <row r="94" outlineLevel="1">
      <c r="A94" s="1" t="s">
        <v>12</v>
      </c>
      <c r="B94" s="1">
        <v>108.5</v>
      </c>
      <c r="C94" s="1" t="s">
        <v>16</v>
      </c>
      <c r="D94" s="1">
        <v>115.85</v>
      </c>
      <c r="E94" s="1">
        <v>2020.0</v>
      </c>
      <c r="F94" s="1">
        <v>4.0</v>
      </c>
      <c r="G94" s="1" t="str">
        <f t="shared" si="1"/>
        <v>Kyle</v>
      </c>
      <c r="H94" s="2" t="str">
        <f t="shared" si="2"/>
        <v>Ruben</v>
      </c>
    </row>
    <row r="95" outlineLevel="1">
      <c r="A95" s="1" t="s">
        <v>15</v>
      </c>
      <c r="B95" s="1">
        <v>150.4</v>
      </c>
      <c r="C95" s="1" t="s">
        <v>18</v>
      </c>
      <c r="D95" s="1">
        <v>135.7</v>
      </c>
      <c r="E95" s="1">
        <v>2020.0</v>
      </c>
      <c r="F95" s="1">
        <v>4.0</v>
      </c>
      <c r="G95" s="1" t="str">
        <f t="shared" si="1"/>
        <v>Connor</v>
      </c>
      <c r="H95" s="2" t="str">
        <f t="shared" si="2"/>
        <v>Andrew</v>
      </c>
    </row>
    <row r="96" outlineLevel="1">
      <c r="A96" s="1" t="s">
        <v>11</v>
      </c>
      <c r="B96" s="1">
        <v>120.05</v>
      </c>
      <c r="C96" s="1" t="s">
        <v>14</v>
      </c>
      <c r="D96" s="1">
        <v>129.0</v>
      </c>
      <c r="E96" s="1">
        <v>2020.0</v>
      </c>
      <c r="F96" s="1">
        <v>4.0</v>
      </c>
      <c r="G96" s="1" t="str">
        <f t="shared" si="1"/>
        <v>Griffin</v>
      </c>
      <c r="H96" s="2" t="str">
        <f t="shared" si="2"/>
        <v>Mitch</v>
      </c>
    </row>
    <row r="97" outlineLevel="1">
      <c r="A97" s="1" t="s">
        <v>8</v>
      </c>
      <c r="B97" s="1">
        <v>155.6</v>
      </c>
      <c r="C97" s="1" t="s">
        <v>10</v>
      </c>
      <c r="D97" s="1">
        <v>122.2</v>
      </c>
      <c r="E97" s="1">
        <v>2020.0</v>
      </c>
      <c r="F97" s="1">
        <v>4.0</v>
      </c>
      <c r="G97" s="1" t="str">
        <f t="shared" si="1"/>
        <v>Luke</v>
      </c>
      <c r="H97" s="2" t="str">
        <f t="shared" si="2"/>
        <v>Jacob</v>
      </c>
    </row>
    <row r="98" outlineLevel="1">
      <c r="A98" s="1" t="s">
        <v>9</v>
      </c>
      <c r="B98" s="1">
        <v>148.85</v>
      </c>
      <c r="C98" s="1" t="s">
        <v>8</v>
      </c>
      <c r="D98" s="1">
        <v>123.7</v>
      </c>
      <c r="E98" s="1">
        <v>2020.0</v>
      </c>
      <c r="F98" s="1">
        <v>5.0</v>
      </c>
      <c r="G98" s="1" t="str">
        <f t="shared" si="1"/>
        <v>Kadin</v>
      </c>
      <c r="H98" s="2" t="str">
        <f t="shared" si="2"/>
        <v>Luke</v>
      </c>
    </row>
    <row r="99" outlineLevel="1">
      <c r="A99" s="1" t="s">
        <v>19</v>
      </c>
      <c r="B99" s="1">
        <v>133.9</v>
      </c>
      <c r="C99" s="1" t="s">
        <v>18</v>
      </c>
      <c r="D99" s="1">
        <v>113.05</v>
      </c>
      <c r="E99" s="1">
        <v>2020.0</v>
      </c>
      <c r="F99" s="1">
        <v>5.0</v>
      </c>
      <c r="G99" s="1" t="str">
        <f t="shared" si="1"/>
        <v>Nick</v>
      </c>
      <c r="H99" s="2" t="str">
        <f t="shared" si="2"/>
        <v>Andrew</v>
      </c>
    </row>
    <row r="100" outlineLevel="1">
      <c r="A100" s="1" t="s">
        <v>14</v>
      </c>
      <c r="B100" s="1">
        <v>142.55</v>
      </c>
      <c r="C100" s="1" t="s">
        <v>16</v>
      </c>
      <c r="D100" s="1">
        <v>117.9</v>
      </c>
      <c r="E100" s="1">
        <v>2020.0</v>
      </c>
      <c r="F100" s="1">
        <v>5.0</v>
      </c>
      <c r="G100" s="1" t="str">
        <f t="shared" si="1"/>
        <v>Griffin</v>
      </c>
      <c r="H100" s="2" t="str">
        <f t="shared" si="2"/>
        <v>Kyle</v>
      </c>
    </row>
    <row r="101" outlineLevel="1">
      <c r="A101" s="1" t="s">
        <v>10</v>
      </c>
      <c r="B101" s="1">
        <v>148.05</v>
      </c>
      <c r="C101" s="1" t="s">
        <v>12</v>
      </c>
      <c r="D101" s="1">
        <v>100.7</v>
      </c>
      <c r="E101" s="1">
        <v>2020.0</v>
      </c>
      <c r="F101" s="1">
        <v>5.0</v>
      </c>
      <c r="G101" s="1" t="str">
        <f t="shared" si="1"/>
        <v>Jacob</v>
      </c>
      <c r="H101" s="2" t="str">
        <f t="shared" si="2"/>
        <v>Ruben</v>
      </c>
    </row>
    <row r="102" outlineLevel="1">
      <c r="A102" s="1" t="s">
        <v>11</v>
      </c>
      <c r="B102" s="1">
        <v>119.2</v>
      </c>
      <c r="C102" s="1" t="s">
        <v>15</v>
      </c>
      <c r="D102" s="1">
        <v>114.65</v>
      </c>
      <c r="E102" s="1">
        <v>2020.0</v>
      </c>
      <c r="F102" s="1">
        <v>5.0</v>
      </c>
      <c r="G102" s="1" t="str">
        <f t="shared" si="1"/>
        <v>Mitch</v>
      </c>
      <c r="H102" s="2" t="str">
        <f t="shared" si="2"/>
        <v>Connor</v>
      </c>
    </row>
    <row r="103" outlineLevel="1">
      <c r="A103" s="1" t="s">
        <v>9</v>
      </c>
      <c r="B103" s="1">
        <v>102.55</v>
      </c>
      <c r="C103" s="1" t="s">
        <v>16</v>
      </c>
      <c r="D103" s="1">
        <v>105.6</v>
      </c>
      <c r="E103" s="1">
        <v>2020.0</v>
      </c>
      <c r="F103" s="1">
        <v>6.0</v>
      </c>
      <c r="G103" s="1" t="str">
        <f t="shared" si="1"/>
        <v>Kyle</v>
      </c>
      <c r="H103" s="2" t="str">
        <f t="shared" si="2"/>
        <v>Kadin</v>
      </c>
    </row>
    <row r="104" outlineLevel="1">
      <c r="A104" s="1" t="s">
        <v>11</v>
      </c>
      <c r="B104" s="1">
        <v>100.2</v>
      </c>
      <c r="C104" s="1" t="s">
        <v>10</v>
      </c>
      <c r="D104" s="1">
        <v>107.75</v>
      </c>
      <c r="E104" s="1">
        <v>2020.0</v>
      </c>
      <c r="F104" s="1">
        <v>6.0</v>
      </c>
      <c r="G104" s="1" t="str">
        <f t="shared" si="1"/>
        <v>Jacob</v>
      </c>
      <c r="H104" s="2" t="str">
        <f t="shared" si="2"/>
        <v>Mitch</v>
      </c>
    </row>
    <row r="105" outlineLevel="1">
      <c r="A105" s="1" t="s">
        <v>15</v>
      </c>
      <c r="B105" s="1">
        <v>125.5</v>
      </c>
      <c r="C105" s="1" t="s">
        <v>8</v>
      </c>
      <c r="D105" s="1">
        <v>106.0</v>
      </c>
      <c r="E105" s="1">
        <v>2020.0</v>
      </c>
      <c r="F105" s="1">
        <v>6.0</v>
      </c>
      <c r="G105" s="1" t="str">
        <f t="shared" si="1"/>
        <v>Connor</v>
      </c>
      <c r="H105" s="2" t="str">
        <f t="shared" si="2"/>
        <v>Luke</v>
      </c>
    </row>
    <row r="106" outlineLevel="1">
      <c r="A106" s="1" t="s">
        <v>18</v>
      </c>
      <c r="B106" s="1">
        <v>149.45</v>
      </c>
      <c r="C106" s="1" t="s">
        <v>12</v>
      </c>
      <c r="D106" s="1">
        <v>122.6</v>
      </c>
      <c r="E106" s="1">
        <v>2020.0</v>
      </c>
      <c r="F106" s="1">
        <v>6.0</v>
      </c>
      <c r="G106" s="1" t="str">
        <f t="shared" si="1"/>
        <v>Andrew</v>
      </c>
      <c r="H106" s="2" t="str">
        <f t="shared" si="2"/>
        <v>Ruben</v>
      </c>
    </row>
    <row r="107" outlineLevel="1">
      <c r="A107" s="1" t="s">
        <v>14</v>
      </c>
      <c r="B107" s="1">
        <v>134.05</v>
      </c>
      <c r="C107" s="1" t="s">
        <v>19</v>
      </c>
      <c r="D107" s="1">
        <v>116.5</v>
      </c>
      <c r="E107" s="1">
        <v>2020.0</v>
      </c>
      <c r="F107" s="1">
        <v>6.0</v>
      </c>
      <c r="G107" s="1" t="str">
        <f t="shared" si="1"/>
        <v>Griffin</v>
      </c>
      <c r="H107" s="2" t="str">
        <f t="shared" si="2"/>
        <v>Nick</v>
      </c>
    </row>
    <row r="108" outlineLevel="1">
      <c r="A108" s="1" t="s">
        <v>9</v>
      </c>
      <c r="B108" s="1">
        <v>74.7</v>
      </c>
      <c r="C108" s="1" t="s">
        <v>18</v>
      </c>
      <c r="D108" s="1">
        <v>149.25</v>
      </c>
      <c r="E108" s="1">
        <v>2020.0</v>
      </c>
      <c r="F108" s="1">
        <v>7.0</v>
      </c>
      <c r="G108" s="1" t="str">
        <f t="shared" si="1"/>
        <v>Andrew</v>
      </c>
      <c r="H108" s="2" t="str">
        <f t="shared" si="2"/>
        <v>Kadin</v>
      </c>
    </row>
    <row r="109" outlineLevel="1">
      <c r="A109" s="1" t="s">
        <v>10</v>
      </c>
      <c r="B109" s="1">
        <v>130.0</v>
      </c>
      <c r="C109" s="1" t="s">
        <v>15</v>
      </c>
      <c r="D109" s="1">
        <v>103.85</v>
      </c>
      <c r="E109" s="1">
        <v>2020.0</v>
      </c>
      <c r="F109" s="1">
        <v>7.0</v>
      </c>
      <c r="G109" s="1" t="str">
        <f t="shared" si="1"/>
        <v>Jacob</v>
      </c>
      <c r="H109" s="2" t="str">
        <f t="shared" si="2"/>
        <v>Connor</v>
      </c>
    </row>
    <row r="110" outlineLevel="1">
      <c r="A110" s="1" t="s">
        <v>8</v>
      </c>
      <c r="B110" s="1">
        <v>115.35</v>
      </c>
      <c r="C110" s="1" t="s">
        <v>16</v>
      </c>
      <c r="D110" s="1">
        <v>178.65</v>
      </c>
      <c r="E110" s="1">
        <v>2020.0</v>
      </c>
      <c r="F110" s="1">
        <v>7.0</v>
      </c>
      <c r="G110" s="1" t="str">
        <f t="shared" si="1"/>
        <v>Kyle</v>
      </c>
      <c r="H110" s="2" t="str">
        <f t="shared" si="2"/>
        <v>Luke</v>
      </c>
    </row>
    <row r="111" outlineLevel="1">
      <c r="A111" s="1" t="s">
        <v>12</v>
      </c>
      <c r="B111" s="1">
        <v>131.15</v>
      </c>
      <c r="C111" s="1" t="s">
        <v>14</v>
      </c>
      <c r="D111" s="1">
        <v>155.7</v>
      </c>
      <c r="E111" s="1">
        <v>2020.0</v>
      </c>
      <c r="F111" s="1">
        <v>7.0</v>
      </c>
      <c r="G111" s="1" t="str">
        <f t="shared" si="1"/>
        <v>Griffin</v>
      </c>
      <c r="H111" s="2" t="str">
        <f t="shared" si="2"/>
        <v>Ruben</v>
      </c>
    </row>
    <row r="112" outlineLevel="1">
      <c r="A112" s="1" t="s">
        <v>19</v>
      </c>
      <c r="B112" s="1">
        <v>144.05</v>
      </c>
      <c r="C112" s="1" t="s">
        <v>11</v>
      </c>
      <c r="D112" s="1">
        <v>144.4</v>
      </c>
      <c r="E112" s="1">
        <v>2020.0</v>
      </c>
      <c r="F112" s="1">
        <v>7.0</v>
      </c>
      <c r="G112" s="1" t="str">
        <f t="shared" si="1"/>
        <v>Mitch</v>
      </c>
      <c r="H112" s="2" t="str">
        <f t="shared" si="2"/>
        <v>Nick</v>
      </c>
    </row>
    <row r="113" outlineLevel="1">
      <c r="A113" s="1" t="s">
        <v>9</v>
      </c>
      <c r="B113" s="1">
        <v>134.45</v>
      </c>
      <c r="C113" s="1" t="s">
        <v>14</v>
      </c>
      <c r="D113" s="1">
        <v>160.3</v>
      </c>
      <c r="E113" s="1">
        <v>2020.0</v>
      </c>
      <c r="F113" s="1">
        <v>8.0</v>
      </c>
      <c r="G113" s="1" t="str">
        <f t="shared" si="1"/>
        <v>Griffin</v>
      </c>
      <c r="H113" s="2" t="str">
        <f t="shared" si="2"/>
        <v>Kadin</v>
      </c>
    </row>
    <row r="114" outlineLevel="1">
      <c r="A114" s="1" t="s">
        <v>16</v>
      </c>
      <c r="B114" s="1">
        <v>84.95</v>
      </c>
      <c r="C114" s="1" t="s">
        <v>10</v>
      </c>
      <c r="D114" s="1">
        <v>116.8</v>
      </c>
      <c r="E114" s="1">
        <v>2020.0</v>
      </c>
      <c r="F114" s="1">
        <v>8.0</v>
      </c>
      <c r="G114" s="1" t="str">
        <f t="shared" si="1"/>
        <v>Jacob</v>
      </c>
      <c r="H114" s="2" t="str">
        <f t="shared" si="2"/>
        <v>Kyle</v>
      </c>
    </row>
    <row r="115" outlineLevel="1">
      <c r="A115" s="1" t="s">
        <v>18</v>
      </c>
      <c r="B115" s="1">
        <v>75.35</v>
      </c>
      <c r="C115" s="1" t="s">
        <v>8</v>
      </c>
      <c r="D115" s="1">
        <v>114.9</v>
      </c>
      <c r="E115" s="1">
        <v>2020.0</v>
      </c>
      <c r="F115" s="1">
        <v>8.0</v>
      </c>
      <c r="G115" s="1" t="str">
        <f t="shared" si="1"/>
        <v>Luke</v>
      </c>
      <c r="H115" s="2" t="str">
        <f t="shared" si="2"/>
        <v>Andrew</v>
      </c>
    </row>
    <row r="116" outlineLevel="1">
      <c r="A116" s="1" t="s">
        <v>11</v>
      </c>
      <c r="B116" s="1">
        <v>83.65</v>
      </c>
      <c r="C116" s="1" t="s">
        <v>12</v>
      </c>
      <c r="D116" s="1">
        <v>83.75</v>
      </c>
      <c r="E116" s="1">
        <v>2020.0</v>
      </c>
      <c r="F116" s="1">
        <v>8.0</v>
      </c>
      <c r="G116" s="1" t="str">
        <f t="shared" si="1"/>
        <v>Ruben</v>
      </c>
      <c r="H116" s="2" t="str">
        <f t="shared" si="2"/>
        <v>Mitch</v>
      </c>
    </row>
    <row r="117" outlineLevel="1">
      <c r="A117" s="1" t="s">
        <v>15</v>
      </c>
      <c r="B117" s="1">
        <v>122.7</v>
      </c>
      <c r="C117" s="1" t="s">
        <v>19</v>
      </c>
      <c r="D117" s="1">
        <v>80.3</v>
      </c>
      <c r="E117" s="1">
        <v>2020.0</v>
      </c>
      <c r="F117" s="1">
        <v>8.0</v>
      </c>
      <c r="G117" s="1" t="str">
        <f t="shared" si="1"/>
        <v>Connor</v>
      </c>
      <c r="H117" s="2" t="str">
        <f t="shared" si="2"/>
        <v>Nick</v>
      </c>
    </row>
    <row r="118" outlineLevel="1">
      <c r="A118" s="1" t="s">
        <v>9</v>
      </c>
      <c r="B118" s="1">
        <v>142.9</v>
      </c>
      <c r="C118" s="1" t="s">
        <v>12</v>
      </c>
      <c r="D118" s="1">
        <v>146.05</v>
      </c>
      <c r="E118" s="1">
        <v>2020.0</v>
      </c>
      <c r="F118" s="1">
        <v>9.0</v>
      </c>
      <c r="G118" s="1" t="str">
        <f t="shared" si="1"/>
        <v>Ruben</v>
      </c>
      <c r="H118" s="2" t="str">
        <f t="shared" si="2"/>
        <v>Kadin</v>
      </c>
    </row>
    <row r="119" outlineLevel="1">
      <c r="A119" s="1" t="s">
        <v>10</v>
      </c>
      <c r="B119" s="1">
        <v>126.5</v>
      </c>
      <c r="C119" s="1" t="s">
        <v>18</v>
      </c>
      <c r="D119" s="1">
        <v>90.15</v>
      </c>
      <c r="E119" s="1">
        <v>2020.0</v>
      </c>
      <c r="F119" s="1">
        <v>9.0</v>
      </c>
      <c r="G119" s="1" t="str">
        <f t="shared" si="1"/>
        <v>Jacob</v>
      </c>
      <c r="H119" s="2" t="str">
        <f t="shared" si="2"/>
        <v>Andrew</v>
      </c>
    </row>
    <row r="120" outlineLevel="1">
      <c r="A120" s="1" t="s">
        <v>16</v>
      </c>
      <c r="B120" s="1">
        <v>110.5</v>
      </c>
      <c r="C120" s="1" t="s">
        <v>14</v>
      </c>
      <c r="D120" s="1">
        <v>165.6</v>
      </c>
      <c r="E120" s="1">
        <v>2020.0</v>
      </c>
      <c r="F120" s="1">
        <v>9.0</v>
      </c>
      <c r="G120" s="1" t="str">
        <f t="shared" si="1"/>
        <v>Griffin</v>
      </c>
      <c r="H120" s="2" t="str">
        <f t="shared" si="2"/>
        <v>Kyle</v>
      </c>
    </row>
    <row r="121" outlineLevel="1">
      <c r="A121" s="1" t="s">
        <v>19</v>
      </c>
      <c r="B121" s="1">
        <v>130.05</v>
      </c>
      <c r="C121" s="1" t="s">
        <v>8</v>
      </c>
      <c r="D121" s="1">
        <v>123.1</v>
      </c>
      <c r="E121" s="1">
        <v>2020.0</v>
      </c>
      <c r="F121" s="1">
        <v>9.0</v>
      </c>
      <c r="G121" s="1" t="str">
        <f t="shared" si="1"/>
        <v>Nick</v>
      </c>
      <c r="H121" s="2" t="str">
        <f t="shared" si="2"/>
        <v>Luke</v>
      </c>
    </row>
    <row r="122" outlineLevel="1">
      <c r="A122" s="1" t="s">
        <v>15</v>
      </c>
      <c r="B122" s="1">
        <v>117.15</v>
      </c>
      <c r="C122" s="1" t="s">
        <v>11</v>
      </c>
      <c r="D122" s="1">
        <v>90.7</v>
      </c>
      <c r="E122" s="1">
        <v>2020.0</v>
      </c>
      <c r="F122" s="1">
        <v>9.0</v>
      </c>
      <c r="G122" s="1" t="str">
        <f t="shared" si="1"/>
        <v>Connor</v>
      </c>
      <c r="H122" s="2" t="str">
        <f t="shared" si="2"/>
        <v>Mitch</v>
      </c>
    </row>
    <row r="123" outlineLevel="1">
      <c r="A123" s="1" t="s">
        <v>9</v>
      </c>
      <c r="B123" s="1">
        <v>70.6</v>
      </c>
      <c r="C123" s="1" t="s">
        <v>10</v>
      </c>
      <c r="D123" s="1">
        <v>138.95</v>
      </c>
      <c r="E123" s="1">
        <v>2020.0</v>
      </c>
      <c r="F123" s="1">
        <v>10.0</v>
      </c>
      <c r="G123" s="1" t="str">
        <f t="shared" si="1"/>
        <v>Jacob</v>
      </c>
      <c r="H123" s="2" t="str">
        <f t="shared" si="2"/>
        <v>Kadin</v>
      </c>
    </row>
    <row r="124" outlineLevel="1">
      <c r="A124" s="1" t="s">
        <v>8</v>
      </c>
      <c r="B124" s="1">
        <v>130.15</v>
      </c>
      <c r="C124" s="1" t="s">
        <v>14</v>
      </c>
      <c r="D124" s="1">
        <v>98.9</v>
      </c>
      <c r="E124" s="1">
        <v>2020.0</v>
      </c>
      <c r="F124" s="1">
        <v>10.0</v>
      </c>
      <c r="G124" s="1" t="str">
        <f t="shared" si="1"/>
        <v>Luke</v>
      </c>
      <c r="H124" s="2" t="str">
        <f t="shared" si="2"/>
        <v>Griffin</v>
      </c>
    </row>
    <row r="125" outlineLevel="1">
      <c r="A125" s="1" t="s">
        <v>18</v>
      </c>
      <c r="B125" s="1">
        <v>83.85</v>
      </c>
      <c r="C125" s="1" t="s">
        <v>11</v>
      </c>
      <c r="D125" s="1">
        <v>97.45</v>
      </c>
      <c r="E125" s="1">
        <v>2020.0</v>
      </c>
      <c r="F125" s="1">
        <v>10.0</v>
      </c>
      <c r="G125" s="1" t="str">
        <f t="shared" si="1"/>
        <v>Mitch</v>
      </c>
      <c r="H125" s="2" t="str">
        <f t="shared" si="2"/>
        <v>Andrew</v>
      </c>
    </row>
    <row r="126" outlineLevel="1">
      <c r="A126" s="1" t="s">
        <v>16</v>
      </c>
      <c r="B126" s="1">
        <v>108.65</v>
      </c>
      <c r="C126" s="1" t="s">
        <v>15</v>
      </c>
      <c r="D126" s="1">
        <v>97.1</v>
      </c>
      <c r="E126" s="1">
        <v>2020.0</v>
      </c>
      <c r="F126" s="1">
        <v>10.0</v>
      </c>
      <c r="G126" s="1" t="str">
        <f t="shared" si="1"/>
        <v>Kyle</v>
      </c>
      <c r="H126" s="2" t="str">
        <f t="shared" si="2"/>
        <v>Connor</v>
      </c>
    </row>
    <row r="127" outlineLevel="1">
      <c r="A127" s="1" t="s">
        <v>12</v>
      </c>
      <c r="B127" s="1">
        <v>126.85</v>
      </c>
      <c r="C127" s="1" t="s">
        <v>19</v>
      </c>
      <c r="D127" s="1">
        <v>151.35</v>
      </c>
      <c r="E127" s="1">
        <v>2020.0</v>
      </c>
      <c r="F127" s="1">
        <v>10.0</v>
      </c>
      <c r="G127" s="1" t="str">
        <f t="shared" si="1"/>
        <v>Nick</v>
      </c>
      <c r="H127" s="2" t="str">
        <f t="shared" si="2"/>
        <v>Ruben</v>
      </c>
    </row>
    <row r="128" outlineLevel="1">
      <c r="A128" s="1" t="s">
        <v>9</v>
      </c>
      <c r="B128" s="1">
        <v>136.55</v>
      </c>
      <c r="C128" s="1" t="s">
        <v>11</v>
      </c>
      <c r="D128" s="1">
        <v>141.1</v>
      </c>
      <c r="E128" s="1">
        <v>2020.0</v>
      </c>
      <c r="F128" s="1">
        <v>11.0</v>
      </c>
      <c r="G128" s="1" t="str">
        <f t="shared" si="1"/>
        <v>Mitch</v>
      </c>
      <c r="H128" s="2" t="str">
        <f t="shared" si="2"/>
        <v>Kadin</v>
      </c>
    </row>
    <row r="129" outlineLevel="1">
      <c r="A129" s="1" t="s">
        <v>15</v>
      </c>
      <c r="B129" s="1">
        <v>128.85</v>
      </c>
      <c r="C129" s="1" t="s">
        <v>14</v>
      </c>
      <c r="D129" s="1">
        <v>109.2</v>
      </c>
      <c r="E129" s="1">
        <v>2020.0</v>
      </c>
      <c r="F129" s="1">
        <v>11.0</v>
      </c>
      <c r="G129" s="1" t="str">
        <f t="shared" si="1"/>
        <v>Connor</v>
      </c>
      <c r="H129" s="2" t="str">
        <f t="shared" si="2"/>
        <v>Griffin</v>
      </c>
    </row>
    <row r="130" outlineLevel="1">
      <c r="A130" s="1" t="s">
        <v>8</v>
      </c>
      <c r="B130" s="1">
        <v>119.0</v>
      </c>
      <c r="C130" s="1" t="s">
        <v>12</v>
      </c>
      <c r="D130" s="1">
        <v>131.35</v>
      </c>
      <c r="E130" s="1">
        <v>2020.0</v>
      </c>
      <c r="F130" s="1">
        <v>11.0</v>
      </c>
      <c r="G130" s="1" t="str">
        <f t="shared" si="1"/>
        <v>Ruben</v>
      </c>
      <c r="H130" s="2" t="str">
        <f t="shared" si="2"/>
        <v>Luke</v>
      </c>
    </row>
    <row r="131" outlineLevel="1">
      <c r="A131" s="1" t="s">
        <v>16</v>
      </c>
      <c r="B131" s="1">
        <v>119.0</v>
      </c>
      <c r="C131" s="1" t="s">
        <v>18</v>
      </c>
      <c r="D131" s="1">
        <v>139.3</v>
      </c>
      <c r="E131" s="1">
        <v>2020.0</v>
      </c>
      <c r="F131" s="1">
        <v>11.0</v>
      </c>
      <c r="G131" s="1" t="str">
        <f t="shared" si="1"/>
        <v>Andrew</v>
      </c>
      <c r="H131" s="2" t="str">
        <f t="shared" si="2"/>
        <v>Kyle</v>
      </c>
    </row>
    <row r="132" outlineLevel="1">
      <c r="A132" s="1" t="s">
        <v>10</v>
      </c>
      <c r="B132" s="1">
        <v>167.4</v>
      </c>
      <c r="C132" s="1" t="s">
        <v>19</v>
      </c>
      <c r="D132" s="1">
        <v>98.55</v>
      </c>
      <c r="E132" s="1">
        <v>2020.0</v>
      </c>
      <c r="F132" s="1">
        <v>11.0</v>
      </c>
      <c r="G132" s="1" t="str">
        <f t="shared" si="1"/>
        <v>Jacob</v>
      </c>
      <c r="H132" s="2" t="str">
        <f t="shared" si="2"/>
        <v>Nick</v>
      </c>
    </row>
    <row r="133" outlineLevel="1">
      <c r="A133" s="1" t="s">
        <v>9</v>
      </c>
      <c r="B133" s="1">
        <v>99.4</v>
      </c>
      <c r="C133" s="1" t="s">
        <v>19</v>
      </c>
      <c r="D133" s="1">
        <v>92.5</v>
      </c>
      <c r="E133" s="1">
        <v>2020.0</v>
      </c>
      <c r="F133" s="1">
        <v>12.0</v>
      </c>
      <c r="G133" s="1" t="str">
        <f t="shared" si="1"/>
        <v>Kadin</v>
      </c>
      <c r="H133" s="2" t="str">
        <f t="shared" si="2"/>
        <v>Nick</v>
      </c>
    </row>
    <row r="134" outlineLevel="1">
      <c r="A134" s="1" t="s">
        <v>12</v>
      </c>
      <c r="B134" s="1">
        <v>184.45</v>
      </c>
      <c r="C134" s="1" t="s">
        <v>15</v>
      </c>
      <c r="D134" s="1">
        <v>85.9</v>
      </c>
      <c r="E134" s="1">
        <v>2020.0</v>
      </c>
      <c r="F134" s="1">
        <v>12.0</v>
      </c>
      <c r="G134" s="1" t="str">
        <f t="shared" si="1"/>
        <v>Ruben</v>
      </c>
      <c r="H134" s="2" t="str">
        <f t="shared" si="2"/>
        <v>Connor</v>
      </c>
    </row>
    <row r="135" outlineLevel="1">
      <c r="A135" s="1" t="s">
        <v>11</v>
      </c>
      <c r="B135" s="1">
        <v>119.85</v>
      </c>
      <c r="C135" s="1" t="s">
        <v>16</v>
      </c>
      <c r="D135" s="1">
        <v>89.5</v>
      </c>
      <c r="E135" s="1">
        <v>2020.0</v>
      </c>
      <c r="F135" s="1">
        <v>12.0</v>
      </c>
      <c r="G135" s="1" t="str">
        <f t="shared" si="1"/>
        <v>Mitch</v>
      </c>
      <c r="H135" s="2" t="str">
        <f t="shared" si="2"/>
        <v>Kyle</v>
      </c>
    </row>
    <row r="136" outlineLevel="1">
      <c r="A136" s="1" t="s">
        <v>14</v>
      </c>
      <c r="B136" s="1">
        <v>150.95</v>
      </c>
      <c r="C136" s="1" t="s">
        <v>18</v>
      </c>
      <c r="D136" s="1">
        <v>150.9</v>
      </c>
      <c r="E136" s="1">
        <v>2020.0</v>
      </c>
      <c r="F136" s="1">
        <v>12.0</v>
      </c>
      <c r="G136" s="1" t="str">
        <f t="shared" si="1"/>
        <v>Griffin</v>
      </c>
      <c r="H136" s="2" t="str">
        <f t="shared" si="2"/>
        <v>Andrew</v>
      </c>
    </row>
    <row r="137" outlineLevel="1">
      <c r="A137" s="1" t="s">
        <v>10</v>
      </c>
      <c r="B137" s="1">
        <v>186.4</v>
      </c>
      <c r="C137" s="1" t="s">
        <v>8</v>
      </c>
      <c r="D137" s="1">
        <v>135.7</v>
      </c>
      <c r="E137" s="1">
        <v>2020.0</v>
      </c>
      <c r="F137" s="1">
        <v>12.0</v>
      </c>
      <c r="G137" s="1" t="str">
        <f t="shared" si="1"/>
        <v>Jacob</v>
      </c>
      <c r="H137" s="2" t="str">
        <f t="shared" si="2"/>
        <v>Luke</v>
      </c>
    </row>
    <row r="138" outlineLevel="1">
      <c r="A138" s="1" t="s">
        <v>9</v>
      </c>
      <c r="B138" s="1">
        <v>151.35</v>
      </c>
      <c r="C138" s="1" t="s">
        <v>8</v>
      </c>
      <c r="D138" s="1">
        <v>76.95</v>
      </c>
      <c r="E138" s="1">
        <v>2020.0</v>
      </c>
      <c r="F138" s="1">
        <v>13.0</v>
      </c>
      <c r="G138" s="1" t="str">
        <f t="shared" si="1"/>
        <v>Kadin</v>
      </c>
      <c r="H138" s="2" t="str">
        <f t="shared" si="2"/>
        <v>Luke</v>
      </c>
    </row>
    <row r="139" outlineLevel="1">
      <c r="A139" s="1" t="s">
        <v>19</v>
      </c>
      <c r="B139" s="1">
        <v>84.55</v>
      </c>
      <c r="C139" s="1" t="s">
        <v>16</v>
      </c>
      <c r="D139" s="1">
        <v>145.35</v>
      </c>
      <c r="E139" s="1">
        <v>2020.0</v>
      </c>
      <c r="F139" s="1">
        <v>13.0</v>
      </c>
      <c r="G139" s="1" t="str">
        <f t="shared" si="1"/>
        <v>Kyle</v>
      </c>
      <c r="H139" s="2" t="str">
        <f t="shared" si="2"/>
        <v>Nick</v>
      </c>
    </row>
    <row r="140" outlineLevel="1">
      <c r="A140" s="1" t="s">
        <v>18</v>
      </c>
      <c r="B140" s="1">
        <v>94.25</v>
      </c>
      <c r="C140" s="1" t="s">
        <v>15</v>
      </c>
      <c r="D140" s="1">
        <v>125.55</v>
      </c>
      <c r="E140" s="1">
        <v>2020.0</v>
      </c>
      <c r="F140" s="1">
        <v>13.0</v>
      </c>
      <c r="G140" s="1" t="str">
        <f t="shared" si="1"/>
        <v>Connor</v>
      </c>
      <c r="H140" s="2" t="str">
        <f t="shared" si="2"/>
        <v>Andrew</v>
      </c>
    </row>
    <row r="141" outlineLevel="1">
      <c r="A141" s="1" t="s">
        <v>12</v>
      </c>
      <c r="B141" s="1">
        <v>115.15</v>
      </c>
      <c r="C141" s="1" t="s">
        <v>10</v>
      </c>
      <c r="D141" s="1">
        <v>107.8</v>
      </c>
      <c r="E141" s="1">
        <v>2020.0</v>
      </c>
      <c r="F141" s="1">
        <v>13.0</v>
      </c>
      <c r="G141" s="1" t="str">
        <f t="shared" si="1"/>
        <v>Ruben</v>
      </c>
      <c r="H141" s="2" t="str">
        <f t="shared" si="2"/>
        <v>Jacob</v>
      </c>
    </row>
    <row r="142" outlineLevel="1">
      <c r="A142" s="1" t="s">
        <v>14</v>
      </c>
      <c r="B142" s="1">
        <v>167.25</v>
      </c>
      <c r="C142" s="1" t="s">
        <v>11</v>
      </c>
      <c r="D142" s="1">
        <v>121.75</v>
      </c>
      <c r="E142" s="1">
        <v>2020.0</v>
      </c>
      <c r="F142" s="1">
        <v>13.0</v>
      </c>
      <c r="G142" s="1" t="str">
        <f t="shared" si="1"/>
        <v>Griffin</v>
      </c>
      <c r="H142" s="2" t="str">
        <f t="shared" si="2"/>
        <v>Mitch</v>
      </c>
    </row>
    <row r="143" outlineLevel="1">
      <c r="A143" s="1" t="s">
        <v>9</v>
      </c>
      <c r="B143" s="1">
        <v>144.0</v>
      </c>
      <c r="C143" s="1" t="s">
        <v>16</v>
      </c>
      <c r="D143" s="1">
        <v>141.2</v>
      </c>
      <c r="E143" s="1">
        <v>2020.0</v>
      </c>
      <c r="F143" s="1">
        <v>14.0</v>
      </c>
      <c r="G143" s="1" t="str">
        <f t="shared" si="1"/>
        <v>Kadin</v>
      </c>
      <c r="H143" s="2" t="str">
        <f t="shared" si="2"/>
        <v>Kyle</v>
      </c>
    </row>
    <row r="144" outlineLevel="1">
      <c r="A144" s="1" t="s">
        <v>15</v>
      </c>
      <c r="B144" s="1">
        <v>145.4</v>
      </c>
      <c r="C144" s="1" t="s">
        <v>11</v>
      </c>
      <c r="D144" s="1">
        <v>124.2</v>
      </c>
      <c r="E144" s="1">
        <v>2020.0</v>
      </c>
      <c r="F144" s="1">
        <v>14.0</v>
      </c>
      <c r="G144" s="1" t="str">
        <f t="shared" si="1"/>
        <v>Connor</v>
      </c>
      <c r="H144" s="2" t="str">
        <f t="shared" si="2"/>
        <v>Mitch</v>
      </c>
    </row>
    <row r="145" outlineLevel="1">
      <c r="A145" s="1" t="s">
        <v>9</v>
      </c>
      <c r="B145" s="1">
        <v>143.75</v>
      </c>
      <c r="C145" s="1" t="s">
        <v>14</v>
      </c>
      <c r="D145" s="1">
        <v>133.7</v>
      </c>
      <c r="E145" s="1">
        <v>2020.0</v>
      </c>
      <c r="F145" s="1">
        <v>15.0</v>
      </c>
      <c r="G145" s="1" t="str">
        <f t="shared" si="1"/>
        <v>Kadin</v>
      </c>
      <c r="H145" s="2" t="str">
        <f t="shared" si="2"/>
        <v>Griffin</v>
      </c>
    </row>
    <row r="146" outlineLevel="1">
      <c r="A146" s="1" t="s">
        <v>19</v>
      </c>
      <c r="B146" s="1">
        <v>149.1</v>
      </c>
      <c r="C146" s="1" t="s">
        <v>18</v>
      </c>
      <c r="D146" s="1">
        <v>163.95</v>
      </c>
      <c r="E146" s="1">
        <v>2020.0</v>
      </c>
      <c r="F146" s="1">
        <v>15.0</v>
      </c>
      <c r="G146" s="1" t="str">
        <f t="shared" si="1"/>
        <v>Andrew</v>
      </c>
      <c r="H146" s="2" t="str">
        <f t="shared" si="2"/>
        <v>Nick</v>
      </c>
    </row>
    <row r="147" outlineLevel="1">
      <c r="A147" s="1" t="s">
        <v>8</v>
      </c>
      <c r="B147" s="1">
        <v>117.2</v>
      </c>
      <c r="C147" s="1" t="s">
        <v>12</v>
      </c>
      <c r="D147" s="1">
        <v>102.25</v>
      </c>
      <c r="E147" s="1">
        <v>2020.0</v>
      </c>
      <c r="F147" s="1">
        <v>15.0</v>
      </c>
      <c r="G147" s="1" t="str">
        <f t="shared" si="1"/>
        <v>Luke</v>
      </c>
      <c r="H147" s="2" t="str">
        <f t="shared" si="2"/>
        <v>Ruben</v>
      </c>
    </row>
    <row r="148" outlineLevel="1">
      <c r="A148" s="1" t="s">
        <v>10</v>
      </c>
      <c r="B148" s="1">
        <v>136.3</v>
      </c>
      <c r="C148" s="1" t="s">
        <v>15</v>
      </c>
      <c r="D148" s="1">
        <v>124.65</v>
      </c>
      <c r="E148" s="1">
        <v>2020.0</v>
      </c>
      <c r="F148" s="1">
        <v>15.0</v>
      </c>
      <c r="G148" s="1" t="str">
        <f t="shared" si="1"/>
        <v>Jacob</v>
      </c>
      <c r="H148" s="2" t="str">
        <f t="shared" si="2"/>
        <v>Connor</v>
      </c>
    </row>
    <row r="149" outlineLevel="1">
      <c r="A149" s="1" t="s">
        <v>9</v>
      </c>
      <c r="B149" s="1">
        <v>104.75</v>
      </c>
      <c r="C149" s="1" t="s">
        <v>10</v>
      </c>
      <c r="D149" s="1">
        <v>128.2</v>
      </c>
      <c r="E149" s="1">
        <v>2020.0</v>
      </c>
      <c r="F149" s="1">
        <v>16.0</v>
      </c>
      <c r="G149" s="1" t="str">
        <f t="shared" si="1"/>
        <v>Jacob</v>
      </c>
      <c r="H149" s="2" t="str">
        <f t="shared" si="2"/>
        <v>Kadin</v>
      </c>
    </row>
    <row r="150" outlineLevel="1">
      <c r="A150" s="1" t="s">
        <v>18</v>
      </c>
      <c r="B150" s="1">
        <v>119.1</v>
      </c>
      <c r="C150" s="1" t="s">
        <v>8</v>
      </c>
      <c r="D150" s="1">
        <v>99.35</v>
      </c>
      <c r="E150" s="1">
        <v>2020.0</v>
      </c>
      <c r="F150" s="1">
        <v>16.0</v>
      </c>
      <c r="G150" s="1" t="str">
        <f t="shared" si="1"/>
        <v>Andrew</v>
      </c>
      <c r="H150" s="2" t="str">
        <f t="shared" si="2"/>
        <v>Luke</v>
      </c>
    </row>
    <row r="151" outlineLevel="1">
      <c r="A151" s="1" t="s">
        <v>19</v>
      </c>
      <c r="B151" s="1">
        <v>138.35</v>
      </c>
      <c r="C151" s="1" t="s">
        <v>12</v>
      </c>
      <c r="D151" s="1">
        <v>111.45</v>
      </c>
      <c r="E151" s="1">
        <v>2020.0</v>
      </c>
      <c r="F151" s="1">
        <v>16.0</v>
      </c>
      <c r="G151" s="1" t="str">
        <f t="shared" si="1"/>
        <v>Nick</v>
      </c>
      <c r="H151" s="2" t="str">
        <f t="shared" si="2"/>
        <v>Ruben</v>
      </c>
    </row>
    <row r="152" outlineLevel="1">
      <c r="A152" s="1" t="s">
        <v>15</v>
      </c>
      <c r="B152" s="1">
        <v>148.1</v>
      </c>
      <c r="C152" s="1" t="s">
        <v>14</v>
      </c>
      <c r="D152" s="1">
        <v>180.7</v>
      </c>
      <c r="E152" s="1">
        <v>2020.0</v>
      </c>
      <c r="F152" s="1">
        <v>16.0</v>
      </c>
      <c r="G152" s="1" t="str">
        <f t="shared" si="1"/>
        <v>Griffin</v>
      </c>
      <c r="H152" s="2" t="str">
        <f t="shared" si="2"/>
        <v>Connor</v>
      </c>
    </row>
    <row r="153" outlineLevel="1">
      <c r="A153" s="1" t="s">
        <v>11</v>
      </c>
      <c r="B153" s="1">
        <v>95.55</v>
      </c>
      <c r="C153" s="1" t="s">
        <v>16</v>
      </c>
      <c r="D153" s="1">
        <v>123.65</v>
      </c>
      <c r="E153" s="1">
        <v>2020.0</v>
      </c>
      <c r="F153" s="1">
        <v>16.0</v>
      </c>
      <c r="G153" s="1" t="str">
        <f t="shared" si="1"/>
        <v>Kyle</v>
      </c>
      <c r="H153" s="2" t="str">
        <f t="shared" si="2"/>
        <v>Mitch</v>
      </c>
    </row>
    <row r="154" outlineLevel="1">
      <c r="A154" s="1" t="s">
        <v>9</v>
      </c>
      <c r="B154" s="1">
        <v>159.05</v>
      </c>
      <c r="C154" s="1" t="s">
        <v>12</v>
      </c>
      <c r="D154" s="1">
        <v>118.85</v>
      </c>
      <c r="E154" s="1">
        <v>2021.0</v>
      </c>
      <c r="F154" s="1">
        <v>1.0</v>
      </c>
      <c r="G154" s="1" t="str">
        <f t="shared" si="1"/>
        <v>Kadin</v>
      </c>
      <c r="H154" s="2" t="str">
        <f t="shared" si="2"/>
        <v>Ruben</v>
      </c>
    </row>
    <row r="155" outlineLevel="1">
      <c r="A155" s="1" t="s">
        <v>10</v>
      </c>
      <c r="B155" s="1">
        <v>135.85</v>
      </c>
      <c r="C155" s="1" t="s">
        <v>14</v>
      </c>
      <c r="D155" s="1">
        <v>101.25</v>
      </c>
      <c r="E155" s="1">
        <v>2021.0</v>
      </c>
      <c r="F155" s="1">
        <v>1.0</v>
      </c>
      <c r="G155" s="1" t="str">
        <f t="shared" si="1"/>
        <v>Jacob</v>
      </c>
      <c r="H155" s="2" t="str">
        <f t="shared" si="2"/>
        <v>Griffin</v>
      </c>
    </row>
    <row r="156" outlineLevel="1">
      <c r="A156" s="1" t="s">
        <v>11</v>
      </c>
      <c r="B156" s="1">
        <v>126.35</v>
      </c>
      <c r="C156" s="1" t="s">
        <v>18</v>
      </c>
      <c r="D156" s="1">
        <v>133.1</v>
      </c>
      <c r="E156" s="1">
        <v>2021.0</v>
      </c>
      <c r="F156" s="1">
        <v>1.0</v>
      </c>
      <c r="G156" s="1" t="str">
        <f t="shared" si="1"/>
        <v>Andrew</v>
      </c>
      <c r="H156" s="2" t="str">
        <f t="shared" si="2"/>
        <v>Mitch</v>
      </c>
    </row>
    <row r="157" outlineLevel="1">
      <c r="A157" s="1" t="s">
        <v>8</v>
      </c>
      <c r="B157" s="1">
        <v>105.45</v>
      </c>
      <c r="C157" s="1" t="s">
        <v>19</v>
      </c>
      <c r="D157" s="1">
        <v>143.9</v>
      </c>
      <c r="E157" s="1">
        <v>2021.0</v>
      </c>
      <c r="F157" s="1">
        <v>1.0</v>
      </c>
      <c r="G157" s="1" t="str">
        <f t="shared" si="1"/>
        <v>Nick</v>
      </c>
      <c r="H157" s="2" t="str">
        <f t="shared" si="2"/>
        <v>Luke</v>
      </c>
    </row>
    <row r="158" outlineLevel="1">
      <c r="A158" s="1" t="s">
        <v>15</v>
      </c>
      <c r="B158" s="1">
        <v>164.15</v>
      </c>
      <c r="C158" s="1" t="s">
        <v>16</v>
      </c>
      <c r="D158" s="1">
        <v>180.65</v>
      </c>
      <c r="E158" s="1">
        <v>2021.0</v>
      </c>
      <c r="F158" s="1">
        <v>1.0</v>
      </c>
      <c r="G158" s="1" t="str">
        <f t="shared" si="1"/>
        <v>Kyle</v>
      </c>
      <c r="H158" s="2" t="str">
        <f t="shared" si="2"/>
        <v>Connor</v>
      </c>
    </row>
    <row r="159" outlineLevel="1">
      <c r="A159" s="1" t="s">
        <v>9</v>
      </c>
      <c r="B159" s="1">
        <v>182.45</v>
      </c>
      <c r="C159" s="1" t="s">
        <v>10</v>
      </c>
      <c r="D159" s="1">
        <v>126.0</v>
      </c>
      <c r="E159" s="1">
        <v>2021.0</v>
      </c>
      <c r="F159" s="1">
        <v>2.0</v>
      </c>
      <c r="G159" s="1" t="str">
        <f t="shared" si="1"/>
        <v>Kadin</v>
      </c>
      <c r="H159" s="2" t="str">
        <f t="shared" si="2"/>
        <v>Jacob</v>
      </c>
    </row>
    <row r="160" outlineLevel="1">
      <c r="A160" s="1" t="s">
        <v>8</v>
      </c>
      <c r="B160" s="1">
        <v>160.05</v>
      </c>
      <c r="C160" s="1" t="s">
        <v>11</v>
      </c>
      <c r="D160" s="1">
        <v>98.8</v>
      </c>
      <c r="E160" s="1">
        <v>2021.0</v>
      </c>
      <c r="F160" s="1">
        <v>2.0</v>
      </c>
      <c r="G160" s="1" t="str">
        <f t="shared" si="1"/>
        <v>Luke</v>
      </c>
      <c r="H160" s="2" t="str">
        <f t="shared" si="2"/>
        <v>Mitch</v>
      </c>
    </row>
    <row r="161" outlineLevel="1">
      <c r="A161" s="1" t="s">
        <v>14</v>
      </c>
      <c r="B161" s="1">
        <v>141.65</v>
      </c>
      <c r="C161" s="1" t="s">
        <v>15</v>
      </c>
      <c r="D161" s="1">
        <v>103.4</v>
      </c>
      <c r="E161" s="1">
        <v>2021.0</v>
      </c>
      <c r="F161" s="1">
        <v>2.0</v>
      </c>
      <c r="G161" s="1" t="str">
        <f t="shared" si="1"/>
        <v>Griffin</v>
      </c>
      <c r="H161" s="2" t="str">
        <f t="shared" si="2"/>
        <v>Connor</v>
      </c>
    </row>
    <row r="162" outlineLevel="1">
      <c r="A162" s="1" t="s">
        <v>18</v>
      </c>
      <c r="B162" s="1">
        <v>140.15</v>
      </c>
      <c r="C162" s="1" t="s">
        <v>16</v>
      </c>
      <c r="D162" s="1">
        <v>158.9</v>
      </c>
      <c r="E162" s="1">
        <v>2021.0</v>
      </c>
      <c r="F162" s="1">
        <v>2.0</v>
      </c>
      <c r="G162" s="1" t="str">
        <f t="shared" si="1"/>
        <v>Kyle</v>
      </c>
      <c r="H162" s="2" t="str">
        <f t="shared" si="2"/>
        <v>Andrew</v>
      </c>
    </row>
    <row r="163" outlineLevel="1">
      <c r="A163" s="1" t="s">
        <v>19</v>
      </c>
      <c r="B163" s="1">
        <v>117.25</v>
      </c>
      <c r="C163" s="1" t="s">
        <v>12</v>
      </c>
      <c r="D163" s="1">
        <v>93.95</v>
      </c>
      <c r="E163" s="1">
        <v>2021.0</v>
      </c>
      <c r="F163" s="1">
        <v>2.0</v>
      </c>
      <c r="G163" s="1" t="str">
        <f t="shared" si="1"/>
        <v>Nick</v>
      </c>
      <c r="H163" s="2" t="str">
        <f t="shared" si="2"/>
        <v>Ruben</v>
      </c>
    </row>
    <row r="164" outlineLevel="1">
      <c r="A164" s="1" t="s">
        <v>9</v>
      </c>
      <c r="B164" s="1">
        <v>145.7</v>
      </c>
      <c r="C164" s="1" t="s">
        <v>15</v>
      </c>
      <c r="D164" s="1">
        <v>97.55</v>
      </c>
      <c r="E164" s="1">
        <v>2021.0</v>
      </c>
      <c r="F164" s="1">
        <v>3.0</v>
      </c>
      <c r="G164" s="1" t="str">
        <f t="shared" si="1"/>
        <v>Kadin</v>
      </c>
      <c r="H164" s="2" t="str">
        <f t="shared" si="2"/>
        <v>Connor</v>
      </c>
    </row>
    <row r="165" outlineLevel="1">
      <c r="A165" s="1" t="s">
        <v>16</v>
      </c>
      <c r="B165" s="1">
        <v>132.5</v>
      </c>
      <c r="C165" s="1" t="s">
        <v>11</v>
      </c>
      <c r="D165" s="1">
        <v>168.15</v>
      </c>
      <c r="E165" s="1">
        <v>2021.0</v>
      </c>
      <c r="F165" s="1">
        <v>3.0</v>
      </c>
      <c r="G165" s="1" t="str">
        <f t="shared" si="1"/>
        <v>Mitch</v>
      </c>
      <c r="H165" s="2" t="str">
        <f t="shared" si="2"/>
        <v>Kyle</v>
      </c>
    </row>
    <row r="166" outlineLevel="1">
      <c r="A166" s="1" t="s">
        <v>12</v>
      </c>
      <c r="B166" s="1">
        <v>122.0</v>
      </c>
      <c r="C166" s="1" t="s">
        <v>8</v>
      </c>
      <c r="D166" s="1">
        <v>125.0</v>
      </c>
      <c r="E166" s="1">
        <v>2021.0</v>
      </c>
      <c r="F166" s="1">
        <v>3.0</v>
      </c>
      <c r="G166" s="1" t="str">
        <f t="shared" si="1"/>
        <v>Luke</v>
      </c>
      <c r="H166" s="2" t="str">
        <f t="shared" si="2"/>
        <v>Ruben</v>
      </c>
    </row>
    <row r="167" outlineLevel="1">
      <c r="A167" s="1" t="s">
        <v>18</v>
      </c>
      <c r="B167" s="1">
        <v>109.4</v>
      </c>
      <c r="C167" s="1" t="s">
        <v>14</v>
      </c>
      <c r="D167" s="1">
        <v>90.95</v>
      </c>
      <c r="E167" s="1">
        <v>2021.0</v>
      </c>
      <c r="F167" s="1">
        <v>3.0</v>
      </c>
      <c r="G167" s="1" t="str">
        <f t="shared" si="1"/>
        <v>Andrew</v>
      </c>
      <c r="H167" s="2" t="str">
        <f t="shared" si="2"/>
        <v>Griffin</v>
      </c>
    </row>
    <row r="168" outlineLevel="1">
      <c r="A168" s="1" t="s">
        <v>19</v>
      </c>
      <c r="B168" s="1">
        <v>127.2</v>
      </c>
      <c r="C168" s="1" t="s">
        <v>10</v>
      </c>
      <c r="D168" s="1">
        <v>156.5</v>
      </c>
      <c r="E168" s="1">
        <v>2021.0</v>
      </c>
      <c r="F168" s="1">
        <v>3.0</v>
      </c>
      <c r="G168" s="1" t="str">
        <f t="shared" si="1"/>
        <v>Jacob</v>
      </c>
      <c r="H168" s="2" t="str">
        <f t="shared" si="2"/>
        <v>Nick</v>
      </c>
    </row>
    <row r="169" outlineLevel="1">
      <c r="A169" s="1" t="s">
        <v>9</v>
      </c>
      <c r="B169" s="1">
        <v>131.95</v>
      </c>
      <c r="C169" s="1" t="s">
        <v>19</v>
      </c>
      <c r="D169" s="1">
        <v>98.9</v>
      </c>
      <c r="E169" s="1">
        <v>2021.0</v>
      </c>
      <c r="F169" s="1">
        <v>4.0</v>
      </c>
      <c r="G169" s="1" t="str">
        <f t="shared" si="1"/>
        <v>Kadin</v>
      </c>
      <c r="H169" s="2" t="str">
        <f t="shared" si="2"/>
        <v>Nick</v>
      </c>
    </row>
    <row r="170" outlineLevel="1">
      <c r="A170" s="1" t="s">
        <v>12</v>
      </c>
      <c r="B170" s="1">
        <v>115.45</v>
      </c>
      <c r="C170" s="1" t="s">
        <v>16</v>
      </c>
      <c r="D170" s="1">
        <v>88.5</v>
      </c>
      <c r="E170" s="1">
        <v>2021.0</v>
      </c>
      <c r="F170" s="1">
        <v>4.0</v>
      </c>
      <c r="G170" s="1" t="str">
        <f t="shared" si="1"/>
        <v>Ruben</v>
      </c>
      <c r="H170" s="2" t="str">
        <f t="shared" si="2"/>
        <v>Kyle</v>
      </c>
    </row>
    <row r="171" outlineLevel="1">
      <c r="A171" s="1" t="s">
        <v>15</v>
      </c>
      <c r="B171" s="1">
        <v>103.0</v>
      </c>
      <c r="C171" s="1" t="s">
        <v>18</v>
      </c>
      <c r="D171" s="1">
        <v>171.95</v>
      </c>
      <c r="E171" s="1">
        <v>2021.0</v>
      </c>
      <c r="F171" s="1">
        <v>4.0</v>
      </c>
      <c r="G171" s="1" t="str">
        <f t="shared" si="1"/>
        <v>Andrew</v>
      </c>
      <c r="H171" s="2" t="str">
        <f t="shared" si="2"/>
        <v>Connor</v>
      </c>
    </row>
    <row r="172" outlineLevel="1">
      <c r="A172" s="1" t="s">
        <v>11</v>
      </c>
      <c r="B172" s="1">
        <v>160.5</v>
      </c>
      <c r="C172" s="1" t="s">
        <v>14</v>
      </c>
      <c r="D172" s="1">
        <v>137.3</v>
      </c>
      <c r="E172" s="1">
        <v>2021.0</v>
      </c>
      <c r="F172" s="1">
        <v>4.0</v>
      </c>
      <c r="G172" s="1" t="str">
        <f t="shared" si="1"/>
        <v>Mitch</v>
      </c>
      <c r="H172" s="2" t="str">
        <f t="shared" si="2"/>
        <v>Griffin</v>
      </c>
    </row>
    <row r="173" outlineLevel="1">
      <c r="A173" s="1" t="s">
        <v>8</v>
      </c>
      <c r="B173" s="1">
        <v>172.4</v>
      </c>
      <c r="C173" s="1" t="s">
        <v>10</v>
      </c>
      <c r="D173" s="1">
        <v>80.95</v>
      </c>
      <c r="E173" s="1">
        <v>2021.0</v>
      </c>
      <c r="F173" s="1">
        <v>4.0</v>
      </c>
      <c r="G173" s="1" t="str">
        <f t="shared" si="1"/>
        <v>Luke</v>
      </c>
      <c r="H173" s="2" t="str">
        <f t="shared" si="2"/>
        <v>Jacob</v>
      </c>
    </row>
    <row r="174" outlineLevel="1">
      <c r="A174" s="1" t="s">
        <v>9</v>
      </c>
      <c r="B174" s="1">
        <v>114.8</v>
      </c>
      <c r="C174" s="1" t="s">
        <v>8</v>
      </c>
      <c r="D174" s="1">
        <v>138.5</v>
      </c>
      <c r="E174" s="1">
        <v>2021.0</v>
      </c>
      <c r="F174" s="1">
        <v>5.0</v>
      </c>
      <c r="G174" s="1" t="str">
        <f t="shared" si="1"/>
        <v>Luke</v>
      </c>
      <c r="H174" s="2" t="str">
        <f t="shared" si="2"/>
        <v>Kadin</v>
      </c>
    </row>
    <row r="175" outlineLevel="1">
      <c r="A175" s="1" t="s">
        <v>19</v>
      </c>
      <c r="B175" s="1">
        <v>133.25</v>
      </c>
      <c r="C175" s="1" t="s">
        <v>18</v>
      </c>
      <c r="D175" s="1">
        <v>103.8</v>
      </c>
      <c r="E175" s="1">
        <v>2021.0</v>
      </c>
      <c r="F175" s="1">
        <v>5.0</v>
      </c>
      <c r="G175" s="1" t="str">
        <f t="shared" si="1"/>
        <v>Nick</v>
      </c>
      <c r="H175" s="2" t="str">
        <f t="shared" si="2"/>
        <v>Andrew</v>
      </c>
    </row>
    <row r="176" outlineLevel="1">
      <c r="A176" s="1" t="s">
        <v>14</v>
      </c>
      <c r="B176" s="1">
        <v>165.4</v>
      </c>
      <c r="C176" s="1" t="s">
        <v>16</v>
      </c>
      <c r="D176" s="1">
        <v>133.45</v>
      </c>
      <c r="E176" s="1">
        <v>2021.0</v>
      </c>
      <c r="F176" s="1">
        <v>5.0</v>
      </c>
      <c r="G176" s="1" t="str">
        <f t="shared" si="1"/>
        <v>Griffin</v>
      </c>
      <c r="H176" s="2" t="str">
        <f t="shared" si="2"/>
        <v>Kyle</v>
      </c>
    </row>
    <row r="177" outlineLevel="1">
      <c r="A177" s="1" t="s">
        <v>10</v>
      </c>
      <c r="B177" s="1">
        <v>145.25</v>
      </c>
      <c r="C177" s="1" t="s">
        <v>12</v>
      </c>
      <c r="D177" s="1">
        <v>128.55</v>
      </c>
      <c r="E177" s="1">
        <v>2021.0</v>
      </c>
      <c r="F177" s="1">
        <v>5.0</v>
      </c>
      <c r="G177" s="1" t="str">
        <f t="shared" si="1"/>
        <v>Jacob</v>
      </c>
      <c r="H177" s="2" t="str">
        <f t="shared" si="2"/>
        <v>Ruben</v>
      </c>
    </row>
    <row r="178" outlineLevel="1">
      <c r="A178" s="1" t="s">
        <v>11</v>
      </c>
      <c r="B178" s="1">
        <v>227.4</v>
      </c>
      <c r="C178" s="1" t="s">
        <v>15</v>
      </c>
      <c r="D178" s="1">
        <v>142.45</v>
      </c>
      <c r="E178" s="1">
        <v>2021.0</v>
      </c>
      <c r="F178" s="1">
        <v>5.0</v>
      </c>
      <c r="G178" s="1" t="str">
        <f t="shared" si="1"/>
        <v>Mitch</v>
      </c>
      <c r="H178" s="2" t="str">
        <f t="shared" si="2"/>
        <v>Connor</v>
      </c>
    </row>
    <row r="179" outlineLevel="1">
      <c r="A179" s="1" t="s">
        <v>9</v>
      </c>
      <c r="B179" s="1">
        <v>110.8</v>
      </c>
      <c r="C179" s="1" t="s">
        <v>16</v>
      </c>
      <c r="D179" s="1">
        <v>169.05</v>
      </c>
      <c r="E179" s="1">
        <v>2021.0</v>
      </c>
      <c r="F179" s="1">
        <v>6.0</v>
      </c>
      <c r="G179" s="1" t="str">
        <f t="shared" si="1"/>
        <v>Kyle</v>
      </c>
      <c r="H179" s="2" t="str">
        <f t="shared" si="2"/>
        <v>Kadin</v>
      </c>
    </row>
    <row r="180" outlineLevel="1">
      <c r="A180" s="1" t="s">
        <v>11</v>
      </c>
      <c r="B180" s="1">
        <v>131.35</v>
      </c>
      <c r="C180" s="1" t="s">
        <v>10</v>
      </c>
      <c r="D180" s="1">
        <v>84.55</v>
      </c>
      <c r="E180" s="1">
        <v>2021.0</v>
      </c>
      <c r="F180" s="1">
        <v>6.0</v>
      </c>
      <c r="G180" s="1" t="str">
        <f t="shared" si="1"/>
        <v>Mitch</v>
      </c>
      <c r="H180" s="2" t="str">
        <f t="shared" si="2"/>
        <v>Jacob</v>
      </c>
    </row>
    <row r="181" outlineLevel="1">
      <c r="A181" s="1" t="s">
        <v>15</v>
      </c>
      <c r="B181" s="1">
        <v>144.75</v>
      </c>
      <c r="C181" s="1" t="s">
        <v>8</v>
      </c>
      <c r="D181" s="1">
        <v>172.15</v>
      </c>
      <c r="E181" s="1">
        <v>2021.0</v>
      </c>
      <c r="F181" s="1">
        <v>6.0</v>
      </c>
      <c r="G181" s="1" t="str">
        <f t="shared" si="1"/>
        <v>Luke</v>
      </c>
      <c r="H181" s="2" t="str">
        <f t="shared" si="2"/>
        <v>Connor</v>
      </c>
    </row>
    <row r="182" outlineLevel="1">
      <c r="A182" s="1" t="s">
        <v>18</v>
      </c>
      <c r="B182" s="1">
        <v>118.75</v>
      </c>
      <c r="C182" s="1" t="s">
        <v>12</v>
      </c>
      <c r="D182" s="1">
        <v>111.45</v>
      </c>
      <c r="E182" s="1">
        <v>2021.0</v>
      </c>
      <c r="F182" s="1">
        <v>6.0</v>
      </c>
      <c r="G182" s="1" t="str">
        <f t="shared" si="1"/>
        <v>Andrew</v>
      </c>
      <c r="H182" s="2" t="str">
        <f t="shared" si="2"/>
        <v>Ruben</v>
      </c>
    </row>
    <row r="183" outlineLevel="1">
      <c r="A183" s="1" t="s">
        <v>14</v>
      </c>
      <c r="B183" s="1">
        <v>152.65</v>
      </c>
      <c r="C183" s="1" t="s">
        <v>19</v>
      </c>
      <c r="D183" s="1">
        <v>147.25</v>
      </c>
      <c r="E183" s="1">
        <v>2021.0</v>
      </c>
      <c r="F183" s="1">
        <v>6.0</v>
      </c>
      <c r="G183" s="1" t="str">
        <f t="shared" si="1"/>
        <v>Griffin</v>
      </c>
      <c r="H183" s="2" t="str">
        <f t="shared" si="2"/>
        <v>Nick</v>
      </c>
    </row>
    <row r="184" outlineLevel="1">
      <c r="A184" s="1" t="s">
        <v>9</v>
      </c>
      <c r="B184" s="1">
        <v>149.0</v>
      </c>
      <c r="C184" s="1" t="s">
        <v>18</v>
      </c>
      <c r="D184" s="1">
        <v>98.1</v>
      </c>
      <c r="E184" s="1">
        <v>2021.0</v>
      </c>
      <c r="F184" s="1">
        <v>7.0</v>
      </c>
      <c r="G184" s="1" t="str">
        <f t="shared" si="1"/>
        <v>Kadin</v>
      </c>
      <c r="H184" s="2" t="str">
        <f t="shared" si="2"/>
        <v>Andrew</v>
      </c>
    </row>
    <row r="185" outlineLevel="1">
      <c r="A185" s="1" t="s">
        <v>10</v>
      </c>
      <c r="B185" s="1">
        <v>134.25</v>
      </c>
      <c r="C185" s="1" t="s">
        <v>15</v>
      </c>
      <c r="D185" s="1">
        <v>121.9</v>
      </c>
      <c r="E185" s="1">
        <v>2021.0</v>
      </c>
      <c r="F185" s="1">
        <v>7.0</v>
      </c>
      <c r="G185" s="1" t="str">
        <f t="shared" si="1"/>
        <v>Jacob</v>
      </c>
      <c r="H185" s="2" t="str">
        <f t="shared" si="2"/>
        <v>Connor</v>
      </c>
    </row>
    <row r="186" outlineLevel="1">
      <c r="A186" s="1" t="s">
        <v>8</v>
      </c>
      <c r="B186" s="1">
        <v>141.3</v>
      </c>
      <c r="C186" s="1" t="s">
        <v>16</v>
      </c>
      <c r="D186" s="1">
        <v>113.45</v>
      </c>
      <c r="E186" s="1">
        <v>2021.0</v>
      </c>
      <c r="F186" s="1">
        <v>7.0</v>
      </c>
      <c r="G186" s="1" t="str">
        <f t="shared" si="1"/>
        <v>Luke</v>
      </c>
      <c r="H186" s="2" t="str">
        <f t="shared" si="2"/>
        <v>Kyle</v>
      </c>
    </row>
    <row r="187" outlineLevel="1">
      <c r="A187" s="1" t="s">
        <v>12</v>
      </c>
      <c r="B187" s="1">
        <v>126.6</v>
      </c>
      <c r="C187" s="1" t="s">
        <v>14</v>
      </c>
      <c r="D187" s="1">
        <v>134.8</v>
      </c>
      <c r="E187" s="1">
        <v>2021.0</v>
      </c>
      <c r="F187" s="1">
        <v>7.0</v>
      </c>
      <c r="G187" s="1" t="str">
        <f t="shared" si="1"/>
        <v>Griffin</v>
      </c>
      <c r="H187" s="2" t="str">
        <f t="shared" si="2"/>
        <v>Ruben</v>
      </c>
    </row>
    <row r="188" outlineLevel="1">
      <c r="A188" s="1" t="s">
        <v>19</v>
      </c>
      <c r="B188" s="1">
        <v>110.8</v>
      </c>
      <c r="C188" s="1" t="s">
        <v>11</v>
      </c>
      <c r="D188" s="1">
        <v>139.95</v>
      </c>
      <c r="E188" s="1">
        <v>2021.0</v>
      </c>
      <c r="F188" s="1">
        <v>7.0</v>
      </c>
      <c r="G188" s="1" t="str">
        <f t="shared" si="1"/>
        <v>Mitch</v>
      </c>
      <c r="H188" s="2" t="str">
        <f t="shared" si="2"/>
        <v>Nick</v>
      </c>
    </row>
    <row r="189" outlineLevel="1">
      <c r="A189" s="1" t="s">
        <v>9</v>
      </c>
      <c r="B189" s="1">
        <v>123.65</v>
      </c>
      <c r="C189" s="1" t="s">
        <v>14</v>
      </c>
      <c r="D189" s="1">
        <v>125.2</v>
      </c>
      <c r="E189" s="1">
        <v>2021.0</v>
      </c>
      <c r="F189" s="1">
        <v>8.0</v>
      </c>
      <c r="G189" s="1" t="str">
        <f t="shared" si="1"/>
        <v>Griffin</v>
      </c>
      <c r="H189" s="2" t="str">
        <f t="shared" si="2"/>
        <v>Kadin</v>
      </c>
    </row>
    <row r="190" outlineLevel="1">
      <c r="A190" s="1" t="s">
        <v>16</v>
      </c>
      <c r="B190" s="1">
        <v>120.6</v>
      </c>
      <c r="C190" s="1" t="s">
        <v>10</v>
      </c>
      <c r="D190" s="1">
        <v>139.45</v>
      </c>
      <c r="E190" s="1">
        <v>2021.0</v>
      </c>
      <c r="F190" s="1">
        <v>8.0</v>
      </c>
      <c r="G190" s="1" t="str">
        <f t="shared" si="1"/>
        <v>Jacob</v>
      </c>
      <c r="H190" s="2" t="str">
        <f t="shared" si="2"/>
        <v>Kyle</v>
      </c>
    </row>
    <row r="191" outlineLevel="1">
      <c r="A191" s="1" t="s">
        <v>18</v>
      </c>
      <c r="B191" s="1">
        <v>128.95</v>
      </c>
      <c r="C191" s="1" t="s">
        <v>8</v>
      </c>
      <c r="D191" s="1">
        <v>103.65</v>
      </c>
      <c r="E191" s="1">
        <v>2021.0</v>
      </c>
      <c r="F191" s="1">
        <v>8.0</v>
      </c>
      <c r="G191" s="1" t="str">
        <f t="shared" si="1"/>
        <v>Andrew</v>
      </c>
      <c r="H191" s="2" t="str">
        <f t="shared" si="2"/>
        <v>Luke</v>
      </c>
    </row>
    <row r="192" outlineLevel="1">
      <c r="A192" s="1" t="s">
        <v>11</v>
      </c>
      <c r="B192" s="1">
        <v>94.75</v>
      </c>
      <c r="C192" s="1" t="s">
        <v>12</v>
      </c>
      <c r="D192" s="1">
        <v>100.6</v>
      </c>
      <c r="E192" s="1">
        <v>2021.0</v>
      </c>
      <c r="F192" s="1">
        <v>8.0</v>
      </c>
      <c r="G192" s="1" t="str">
        <f t="shared" si="1"/>
        <v>Ruben</v>
      </c>
      <c r="H192" s="2" t="str">
        <f t="shared" si="2"/>
        <v>Mitch</v>
      </c>
    </row>
    <row r="193" outlineLevel="1">
      <c r="A193" s="1" t="s">
        <v>15</v>
      </c>
      <c r="B193" s="1">
        <v>159.15</v>
      </c>
      <c r="C193" s="1" t="s">
        <v>19</v>
      </c>
      <c r="D193" s="1">
        <v>106.95</v>
      </c>
      <c r="E193" s="1">
        <v>2021.0</v>
      </c>
      <c r="F193" s="1">
        <v>8.0</v>
      </c>
      <c r="G193" s="1" t="str">
        <f t="shared" si="1"/>
        <v>Connor</v>
      </c>
      <c r="H193" s="2" t="str">
        <f t="shared" si="2"/>
        <v>Nick</v>
      </c>
    </row>
    <row r="194" outlineLevel="1">
      <c r="A194" s="1" t="s">
        <v>9</v>
      </c>
      <c r="B194" s="1">
        <v>162.2</v>
      </c>
      <c r="C194" s="1" t="s">
        <v>12</v>
      </c>
      <c r="D194" s="1">
        <v>102.9</v>
      </c>
      <c r="E194" s="1">
        <v>2021.0</v>
      </c>
      <c r="F194" s="1">
        <v>9.0</v>
      </c>
      <c r="G194" s="1" t="str">
        <f t="shared" si="1"/>
        <v>Kadin</v>
      </c>
      <c r="H194" s="2" t="str">
        <f t="shared" si="2"/>
        <v>Ruben</v>
      </c>
    </row>
    <row r="195" outlineLevel="1">
      <c r="A195" s="1" t="s">
        <v>10</v>
      </c>
      <c r="B195" s="1">
        <v>144.75</v>
      </c>
      <c r="C195" s="1" t="s">
        <v>18</v>
      </c>
      <c r="D195" s="1">
        <v>77.4</v>
      </c>
      <c r="E195" s="1">
        <v>2021.0</v>
      </c>
      <c r="F195" s="1">
        <v>9.0</v>
      </c>
      <c r="G195" s="1" t="str">
        <f t="shared" si="1"/>
        <v>Jacob</v>
      </c>
      <c r="H195" s="2" t="str">
        <f t="shared" si="2"/>
        <v>Andrew</v>
      </c>
    </row>
    <row r="196" outlineLevel="1">
      <c r="A196" s="1" t="s">
        <v>16</v>
      </c>
      <c r="B196" s="1">
        <v>87.65</v>
      </c>
      <c r="C196" s="1" t="s">
        <v>14</v>
      </c>
      <c r="D196" s="1">
        <v>113.2</v>
      </c>
      <c r="E196" s="1">
        <v>2021.0</v>
      </c>
      <c r="F196" s="1">
        <v>9.0</v>
      </c>
      <c r="G196" s="1" t="str">
        <f t="shared" si="1"/>
        <v>Griffin</v>
      </c>
      <c r="H196" s="2" t="str">
        <f t="shared" si="2"/>
        <v>Kyle</v>
      </c>
    </row>
    <row r="197" outlineLevel="1">
      <c r="A197" s="1" t="s">
        <v>19</v>
      </c>
      <c r="B197" s="1">
        <v>113.55</v>
      </c>
      <c r="C197" s="1" t="s">
        <v>8</v>
      </c>
      <c r="D197" s="1">
        <v>83.1</v>
      </c>
      <c r="E197" s="1">
        <v>2021.0</v>
      </c>
      <c r="F197" s="1">
        <v>9.0</v>
      </c>
      <c r="G197" s="1" t="str">
        <f t="shared" si="1"/>
        <v>Nick</v>
      </c>
      <c r="H197" s="2" t="str">
        <f t="shared" si="2"/>
        <v>Luke</v>
      </c>
    </row>
    <row r="198" outlineLevel="1">
      <c r="A198" s="1" t="s">
        <v>15</v>
      </c>
      <c r="B198" s="1">
        <v>139.9</v>
      </c>
      <c r="C198" s="1" t="s">
        <v>11</v>
      </c>
      <c r="D198" s="1">
        <v>112.7</v>
      </c>
      <c r="E198" s="1">
        <v>2021.0</v>
      </c>
      <c r="F198" s="1">
        <v>9.0</v>
      </c>
      <c r="G198" s="1" t="str">
        <f t="shared" si="1"/>
        <v>Connor</v>
      </c>
      <c r="H198" s="2" t="str">
        <f t="shared" si="2"/>
        <v>Mitch</v>
      </c>
    </row>
    <row r="199" outlineLevel="1">
      <c r="A199" s="1" t="s">
        <v>9</v>
      </c>
      <c r="B199" s="1">
        <v>130.2</v>
      </c>
      <c r="C199" s="1" t="s">
        <v>10</v>
      </c>
      <c r="D199" s="1">
        <v>84.2</v>
      </c>
      <c r="E199" s="1">
        <v>2021.0</v>
      </c>
      <c r="F199" s="1">
        <v>10.0</v>
      </c>
      <c r="G199" s="1" t="str">
        <f t="shared" si="1"/>
        <v>Kadin</v>
      </c>
      <c r="H199" s="2" t="str">
        <f t="shared" si="2"/>
        <v>Jacob</v>
      </c>
    </row>
    <row r="200" outlineLevel="1">
      <c r="A200" s="1" t="s">
        <v>8</v>
      </c>
      <c r="B200" s="1">
        <v>125.3</v>
      </c>
      <c r="C200" s="1" t="s">
        <v>14</v>
      </c>
      <c r="D200" s="1">
        <v>109.8</v>
      </c>
      <c r="E200" s="1">
        <v>2021.0</v>
      </c>
      <c r="F200" s="1">
        <v>10.0</v>
      </c>
      <c r="G200" s="1" t="str">
        <f t="shared" si="1"/>
        <v>Luke</v>
      </c>
      <c r="H200" s="2" t="str">
        <f t="shared" si="2"/>
        <v>Griffin</v>
      </c>
    </row>
    <row r="201" outlineLevel="1">
      <c r="A201" s="1" t="s">
        <v>18</v>
      </c>
      <c r="B201" s="1">
        <v>179.1</v>
      </c>
      <c r="C201" s="1" t="s">
        <v>11</v>
      </c>
      <c r="D201" s="1">
        <v>92.15</v>
      </c>
      <c r="E201" s="1">
        <v>2021.0</v>
      </c>
      <c r="F201" s="1">
        <v>10.0</v>
      </c>
      <c r="G201" s="1" t="str">
        <f t="shared" si="1"/>
        <v>Andrew</v>
      </c>
      <c r="H201" s="2" t="str">
        <f t="shared" si="2"/>
        <v>Mitch</v>
      </c>
    </row>
    <row r="202" outlineLevel="1">
      <c r="A202" s="1" t="s">
        <v>16</v>
      </c>
      <c r="B202" s="1">
        <v>139.45</v>
      </c>
      <c r="C202" s="1" t="s">
        <v>15</v>
      </c>
      <c r="D202" s="1">
        <v>95.9</v>
      </c>
      <c r="E202" s="1">
        <v>2021.0</v>
      </c>
      <c r="F202" s="1">
        <v>10.0</v>
      </c>
      <c r="G202" s="1" t="str">
        <f t="shared" si="1"/>
        <v>Kyle</v>
      </c>
      <c r="H202" s="2" t="str">
        <f t="shared" si="2"/>
        <v>Connor</v>
      </c>
    </row>
    <row r="203" outlineLevel="1">
      <c r="A203" s="1" t="s">
        <v>12</v>
      </c>
      <c r="B203" s="1">
        <v>102.8</v>
      </c>
      <c r="C203" s="1" t="s">
        <v>19</v>
      </c>
      <c r="D203" s="1">
        <v>122.0</v>
      </c>
      <c r="E203" s="1">
        <v>2021.0</v>
      </c>
      <c r="F203" s="1">
        <v>10.0</v>
      </c>
      <c r="G203" s="1" t="str">
        <f t="shared" si="1"/>
        <v>Nick</v>
      </c>
      <c r="H203" s="2" t="str">
        <f t="shared" si="2"/>
        <v>Ruben</v>
      </c>
    </row>
    <row r="204" outlineLevel="1">
      <c r="A204" s="1" t="s">
        <v>9</v>
      </c>
      <c r="B204" s="1">
        <v>134.45</v>
      </c>
      <c r="C204" s="1" t="s">
        <v>11</v>
      </c>
      <c r="D204" s="1">
        <v>161.1</v>
      </c>
      <c r="E204" s="1">
        <v>2021.0</v>
      </c>
      <c r="F204" s="1">
        <v>11.0</v>
      </c>
      <c r="G204" s="1" t="str">
        <f t="shared" si="1"/>
        <v>Mitch</v>
      </c>
      <c r="H204" s="2" t="str">
        <f t="shared" si="2"/>
        <v>Kadin</v>
      </c>
    </row>
    <row r="205" outlineLevel="1">
      <c r="A205" s="1" t="s">
        <v>15</v>
      </c>
      <c r="B205" s="1">
        <v>109.65</v>
      </c>
      <c r="C205" s="1" t="s">
        <v>14</v>
      </c>
      <c r="D205" s="1">
        <v>207.85</v>
      </c>
      <c r="E205" s="1">
        <v>2021.0</v>
      </c>
      <c r="F205" s="1">
        <v>11.0</v>
      </c>
      <c r="G205" s="1" t="str">
        <f t="shared" si="1"/>
        <v>Griffin</v>
      </c>
      <c r="H205" s="2" t="str">
        <f t="shared" si="2"/>
        <v>Connor</v>
      </c>
    </row>
    <row r="206" outlineLevel="1">
      <c r="A206" s="1" t="s">
        <v>8</v>
      </c>
      <c r="B206" s="1">
        <v>118.6</v>
      </c>
      <c r="C206" s="1" t="s">
        <v>12</v>
      </c>
      <c r="D206" s="1">
        <v>122.55</v>
      </c>
      <c r="E206" s="1">
        <v>2021.0</v>
      </c>
      <c r="F206" s="1">
        <v>11.0</v>
      </c>
      <c r="G206" s="1" t="str">
        <f t="shared" si="1"/>
        <v>Ruben</v>
      </c>
      <c r="H206" s="2" t="str">
        <f t="shared" si="2"/>
        <v>Luke</v>
      </c>
    </row>
    <row r="207" outlineLevel="1">
      <c r="A207" s="1" t="s">
        <v>16</v>
      </c>
      <c r="B207" s="1">
        <v>101.45</v>
      </c>
      <c r="C207" s="1" t="s">
        <v>18</v>
      </c>
      <c r="D207" s="1">
        <v>89.6</v>
      </c>
      <c r="E207" s="1">
        <v>2021.0</v>
      </c>
      <c r="F207" s="1">
        <v>11.0</v>
      </c>
      <c r="G207" s="1" t="str">
        <f t="shared" si="1"/>
        <v>Kyle</v>
      </c>
      <c r="H207" s="2" t="str">
        <f t="shared" si="2"/>
        <v>Andrew</v>
      </c>
    </row>
    <row r="208" outlineLevel="1">
      <c r="A208" s="1" t="s">
        <v>10</v>
      </c>
      <c r="B208" s="1">
        <v>113.35</v>
      </c>
      <c r="C208" s="1" t="s">
        <v>19</v>
      </c>
      <c r="D208" s="1">
        <v>92.95</v>
      </c>
      <c r="E208" s="1">
        <v>2021.0</v>
      </c>
      <c r="F208" s="1">
        <v>11.0</v>
      </c>
      <c r="G208" s="1" t="str">
        <f t="shared" si="1"/>
        <v>Jacob</v>
      </c>
      <c r="H208" s="2" t="str">
        <f t="shared" si="2"/>
        <v>Nick</v>
      </c>
    </row>
    <row r="209" outlineLevel="1">
      <c r="A209" s="1" t="s">
        <v>9</v>
      </c>
      <c r="B209" s="1">
        <v>109.15</v>
      </c>
      <c r="C209" s="1" t="s">
        <v>19</v>
      </c>
      <c r="D209" s="1">
        <v>134.0</v>
      </c>
      <c r="E209" s="1">
        <v>2021.0</v>
      </c>
      <c r="F209" s="1">
        <v>12.0</v>
      </c>
      <c r="G209" s="1" t="str">
        <f t="shared" si="1"/>
        <v>Nick</v>
      </c>
      <c r="H209" s="2" t="str">
        <f t="shared" si="2"/>
        <v>Kadin</v>
      </c>
    </row>
    <row r="210" outlineLevel="1">
      <c r="A210" s="1" t="s">
        <v>12</v>
      </c>
      <c r="B210" s="1">
        <v>64.75</v>
      </c>
      <c r="C210" s="1" t="s">
        <v>15</v>
      </c>
      <c r="D210" s="1">
        <v>122.25</v>
      </c>
      <c r="E210" s="1">
        <v>2021.0</v>
      </c>
      <c r="F210" s="1">
        <v>12.0</v>
      </c>
      <c r="G210" s="1" t="str">
        <f t="shared" si="1"/>
        <v>Connor</v>
      </c>
      <c r="H210" s="2" t="str">
        <f t="shared" si="2"/>
        <v>Ruben</v>
      </c>
    </row>
    <row r="211" outlineLevel="1">
      <c r="A211" s="1" t="s">
        <v>11</v>
      </c>
      <c r="B211" s="1">
        <v>110.85</v>
      </c>
      <c r="C211" s="1" t="s">
        <v>16</v>
      </c>
      <c r="D211" s="1">
        <v>144.15</v>
      </c>
      <c r="E211" s="1">
        <v>2021.0</v>
      </c>
      <c r="F211" s="1">
        <v>12.0</v>
      </c>
      <c r="G211" s="1" t="str">
        <f t="shared" si="1"/>
        <v>Kyle</v>
      </c>
      <c r="H211" s="2" t="str">
        <f t="shared" si="2"/>
        <v>Mitch</v>
      </c>
    </row>
    <row r="212" outlineLevel="1">
      <c r="A212" s="1" t="s">
        <v>14</v>
      </c>
      <c r="B212" s="1">
        <v>130.05</v>
      </c>
      <c r="C212" s="1" t="s">
        <v>18</v>
      </c>
      <c r="D212" s="1">
        <v>130.2</v>
      </c>
      <c r="E212" s="1">
        <v>2021.0</v>
      </c>
      <c r="F212" s="1">
        <v>12.0</v>
      </c>
      <c r="G212" s="1" t="str">
        <f t="shared" si="1"/>
        <v>Andrew</v>
      </c>
      <c r="H212" s="2" t="str">
        <f t="shared" si="2"/>
        <v>Griffin</v>
      </c>
    </row>
    <row r="213" outlineLevel="1">
      <c r="A213" s="1" t="s">
        <v>10</v>
      </c>
      <c r="B213" s="1">
        <v>103.6</v>
      </c>
      <c r="C213" s="1" t="s">
        <v>8</v>
      </c>
      <c r="D213" s="1">
        <v>99.7</v>
      </c>
      <c r="E213" s="1">
        <v>2021.0</v>
      </c>
      <c r="F213" s="1">
        <v>12.0</v>
      </c>
      <c r="G213" s="1" t="str">
        <f t="shared" si="1"/>
        <v>Jacob</v>
      </c>
      <c r="H213" s="2" t="str">
        <f t="shared" si="2"/>
        <v>Luke</v>
      </c>
    </row>
    <row r="214" outlineLevel="1">
      <c r="A214" s="1" t="s">
        <v>9</v>
      </c>
      <c r="B214" s="1">
        <v>154.2</v>
      </c>
      <c r="C214" s="1" t="s">
        <v>8</v>
      </c>
      <c r="D214" s="1">
        <v>129.4</v>
      </c>
      <c r="E214" s="1">
        <v>2021.0</v>
      </c>
      <c r="F214" s="1">
        <v>13.0</v>
      </c>
      <c r="G214" s="1" t="str">
        <f t="shared" si="1"/>
        <v>Kadin</v>
      </c>
      <c r="H214" s="2" t="str">
        <f t="shared" si="2"/>
        <v>Luke</v>
      </c>
    </row>
    <row r="215" outlineLevel="1">
      <c r="A215" s="1" t="s">
        <v>19</v>
      </c>
      <c r="B215" s="1">
        <v>84.65</v>
      </c>
      <c r="C215" s="1" t="s">
        <v>16</v>
      </c>
      <c r="D215" s="1">
        <v>142.05</v>
      </c>
      <c r="E215" s="1">
        <v>2021.0</v>
      </c>
      <c r="F215" s="1">
        <v>13.0</v>
      </c>
      <c r="G215" s="1" t="str">
        <f t="shared" si="1"/>
        <v>Kyle</v>
      </c>
      <c r="H215" s="2" t="str">
        <f t="shared" si="2"/>
        <v>Nick</v>
      </c>
    </row>
    <row r="216" outlineLevel="1">
      <c r="A216" s="1" t="s">
        <v>18</v>
      </c>
      <c r="B216" s="1">
        <v>99.5</v>
      </c>
      <c r="C216" s="1" t="s">
        <v>15</v>
      </c>
      <c r="D216" s="1">
        <v>70.65</v>
      </c>
      <c r="E216" s="1">
        <v>2021.0</v>
      </c>
      <c r="F216" s="1">
        <v>13.0</v>
      </c>
      <c r="G216" s="1" t="str">
        <f t="shared" si="1"/>
        <v>Andrew</v>
      </c>
      <c r="H216" s="2" t="str">
        <f t="shared" si="2"/>
        <v>Connor</v>
      </c>
    </row>
    <row r="217" outlineLevel="1">
      <c r="A217" s="1" t="s">
        <v>12</v>
      </c>
      <c r="B217" s="1">
        <v>106.7</v>
      </c>
      <c r="C217" s="1" t="s">
        <v>10</v>
      </c>
      <c r="D217" s="1">
        <v>150.1</v>
      </c>
      <c r="E217" s="1">
        <v>2021.0</v>
      </c>
      <c r="F217" s="1">
        <v>13.0</v>
      </c>
      <c r="G217" s="1" t="str">
        <f t="shared" si="1"/>
        <v>Jacob</v>
      </c>
      <c r="H217" s="2" t="str">
        <f t="shared" si="2"/>
        <v>Ruben</v>
      </c>
    </row>
    <row r="218" outlineLevel="1">
      <c r="A218" s="1" t="s">
        <v>14</v>
      </c>
      <c r="B218" s="1">
        <v>140.6</v>
      </c>
      <c r="C218" s="1" t="s">
        <v>11</v>
      </c>
      <c r="D218" s="1">
        <v>133.05</v>
      </c>
      <c r="E218" s="1">
        <v>2021.0</v>
      </c>
      <c r="F218" s="1">
        <v>13.0</v>
      </c>
      <c r="G218" s="1" t="str">
        <f t="shared" si="1"/>
        <v>Griffin</v>
      </c>
      <c r="H218" s="2" t="str">
        <f t="shared" si="2"/>
        <v>Mitch</v>
      </c>
    </row>
    <row r="219" outlineLevel="1">
      <c r="A219" s="1" t="s">
        <v>9</v>
      </c>
      <c r="B219" s="1">
        <v>195.0</v>
      </c>
      <c r="C219" s="1" t="s">
        <v>15</v>
      </c>
      <c r="D219" s="1">
        <v>88.95</v>
      </c>
      <c r="E219" s="1">
        <v>2021.0</v>
      </c>
      <c r="F219" s="1">
        <v>14.0</v>
      </c>
      <c r="G219" s="1" t="str">
        <f t="shared" si="1"/>
        <v>Kadin</v>
      </c>
      <c r="H219" s="2" t="str">
        <f t="shared" si="2"/>
        <v>Connor</v>
      </c>
    </row>
    <row r="220" outlineLevel="1">
      <c r="A220" s="1" t="s">
        <v>14</v>
      </c>
      <c r="B220" s="1">
        <v>136.85</v>
      </c>
      <c r="C220" s="1" t="s">
        <v>10</v>
      </c>
      <c r="D220" s="1">
        <v>131.35</v>
      </c>
      <c r="E220" s="1">
        <v>2021.0</v>
      </c>
      <c r="F220" s="1">
        <v>14.0</v>
      </c>
      <c r="G220" s="1" t="str">
        <f t="shared" si="1"/>
        <v>Griffin</v>
      </c>
      <c r="H220" s="2" t="str">
        <f t="shared" si="2"/>
        <v>Jacob</v>
      </c>
    </row>
    <row r="221" outlineLevel="1">
      <c r="A221" s="1" t="s">
        <v>11</v>
      </c>
      <c r="B221" s="1">
        <v>153.85</v>
      </c>
      <c r="C221" s="1" t="s">
        <v>8</v>
      </c>
      <c r="D221" s="1">
        <v>135.75</v>
      </c>
      <c r="E221" s="1">
        <v>2021.0</v>
      </c>
      <c r="F221" s="1">
        <v>14.0</v>
      </c>
      <c r="G221" s="1" t="str">
        <f t="shared" si="1"/>
        <v>Mitch</v>
      </c>
      <c r="H221" s="2" t="str">
        <f t="shared" si="2"/>
        <v>Luke</v>
      </c>
    </row>
    <row r="222" outlineLevel="1">
      <c r="A222" s="1" t="s">
        <v>16</v>
      </c>
      <c r="B222" s="1">
        <v>140.55</v>
      </c>
      <c r="C222" s="1" t="s">
        <v>12</v>
      </c>
      <c r="D222" s="1">
        <v>108.25</v>
      </c>
      <c r="E222" s="1">
        <v>2021.0</v>
      </c>
      <c r="F222" s="1">
        <v>14.0</v>
      </c>
      <c r="G222" s="1" t="str">
        <f t="shared" si="1"/>
        <v>Kyle</v>
      </c>
      <c r="H222" s="2" t="str">
        <f t="shared" si="2"/>
        <v>Ruben</v>
      </c>
    </row>
    <row r="223" outlineLevel="1">
      <c r="A223" s="1" t="s">
        <v>18</v>
      </c>
      <c r="B223" s="1">
        <v>120.4</v>
      </c>
      <c r="C223" s="1" t="s">
        <v>19</v>
      </c>
      <c r="D223" s="1">
        <v>110.7</v>
      </c>
      <c r="E223" s="1">
        <v>2021.0</v>
      </c>
      <c r="F223" s="1">
        <v>14.0</v>
      </c>
      <c r="G223" s="1" t="str">
        <f t="shared" si="1"/>
        <v>Andrew</v>
      </c>
      <c r="H223" s="2" t="str">
        <f t="shared" si="2"/>
        <v>Nick</v>
      </c>
    </row>
    <row r="224" outlineLevel="1">
      <c r="A224" s="1" t="s">
        <v>10</v>
      </c>
      <c r="B224" s="1">
        <v>77.8</v>
      </c>
      <c r="C224" s="1" t="s">
        <v>16</v>
      </c>
      <c r="D224" s="1">
        <v>147.45</v>
      </c>
      <c r="E224" s="1">
        <v>2021.0</v>
      </c>
      <c r="F224" s="1">
        <v>15.0</v>
      </c>
      <c r="G224" s="1" t="str">
        <f t="shared" si="1"/>
        <v>Kyle</v>
      </c>
      <c r="H224" s="2" t="str">
        <f t="shared" si="2"/>
        <v>Jacob</v>
      </c>
    </row>
    <row r="225" outlineLevel="1">
      <c r="A225" s="1" t="s">
        <v>14</v>
      </c>
      <c r="B225" s="1">
        <v>150.3</v>
      </c>
      <c r="C225" s="1" t="s">
        <v>11</v>
      </c>
      <c r="D225" s="1">
        <v>116.5</v>
      </c>
      <c r="E225" s="1">
        <v>2021.0</v>
      </c>
      <c r="F225" s="1">
        <v>15.0</v>
      </c>
      <c r="G225" s="1" t="str">
        <f t="shared" si="1"/>
        <v>Griffin</v>
      </c>
      <c r="H225" s="2" t="str">
        <f t="shared" si="2"/>
        <v>Mitch</v>
      </c>
    </row>
    <row r="226" outlineLevel="1">
      <c r="A226" s="1" t="s">
        <v>9</v>
      </c>
      <c r="B226" s="1">
        <v>137.65</v>
      </c>
      <c r="C226" s="1" t="s">
        <v>16</v>
      </c>
      <c r="D226" s="1">
        <v>112.85</v>
      </c>
      <c r="E226" s="1">
        <v>2021.0</v>
      </c>
      <c r="F226" s="1">
        <v>16.0</v>
      </c>
      <c r="G226" s="1" t="str">
        <f t="shared" si="1"/>
        <v>Kadin</v>
      </c>
      <c r="H226" s="2" t="str">
        <f t="shared" si="2"/>
        <v>Kyle</v>
      </c>
    </row>
    <row r="227" outlineLevel="1">
      <c r="A227" s="1" t="s">
        <v>8</v>
      </c>
      <c r="B227" s="1">
        <v>183.4</v>
      </c>
      <c r="C227" s="1" t="s">
        <v>12</v>
      </c>
      <c r="D227" s="1">
        <v>49.8</v>
      </c>
      <c r="E227" s="1">
        <v>2021.0</v>
      </c>
      <c r="F227" s="1">
        <v>16.0</v>
      </c>
      <c r="G227" s="1" t="str">
        <f t="shared" si="1"/>
        <v>Luke</v>
      </c>
      <c r="H227" s="2" t="str">
        <f t="shared" si="2"/>
        <v>Ruben</v>
      </c>
    </row>
    <row r="228" outlineLevel="1">
      <c r="A228" s="1" t="s">
        <v>15</v>
      </c>
      <c r="B228" s="1">
        <v>83.55</v>
      </c>
      <c r="C228" s="1" t="s">
        <v>19</v>
      </c>
      <c r="D228" s="1">
        <v>126.7</v>
      </c>
      <c r="E228" s="1">
        <v>2021.0</v>
      </c>
      <c r="F228" s="1">
        <v>16.0</v>
      </c>
      <c r="G228" s="1" t="str">
        <f t="shared" si="1"/>
        <v>Nick</v>
      </c>
      <c r="H228" s="2" t="str">
        <f t="shared" si="2"/>
        <v>Connor</v>
      </c>
    </row>
    <row r="229" outlineLevel="1">
      <c r="A229" s="1" t="s">
        <v>14</v>
      </c>
      <c r="B229" s="1">
        <v>99.9</v>
      </c>
      <c r="C229" s="1" t="s">
        <v>18</v>
      </c>
      <c r="D229" s="1">
        <v>144.5</v>
      </c>
      <c r="E229" s="1">
        <v>2021.0</v>
      </c>
      <c r="F229" s="1">
        <v>16.0</v>
      </c>
      <c r="G229" s="1" t="str">
        <f t="shared" si="1"/>
        <v>Andrew</v>
      </c>
      <c r="H229" s="2" t="str">
        <f t="shared" si="2"/>
        <v>Griffin</v>
      </c>
    </row>
    <row r="230" outlineLevel="1">
      <c r="A230" s="1" t="s">
        <v>9</v>
      </c>
      <c r="B230" s="1">
        <v>148.5</v>
      </c>
      <c r="C230" s="1" t="s">
        <v>18</v>
      </c>
      <c r="D230" s="1">
        <v>127.85</v>
      </c>
      <c r="E230" s="1">
        <v>2021.0</v>
      </c>
      <c r="F230" s="1">
        <v>17.0</v>
      </c>
      <c r="G230" s="1" t="str">
        <f t="shared" si="1"/>
        <v>Kadin</v>
      </c>
      <c r="H230" s="2" t="str">
        <f t="shared" si="2"/>
        <v>Andrew</v>
      </c>
    </row>
    <row r="231" outlineLevel="1">
      <c r="A231" s="1" t="s">
        <v>8</v>
      </c>
      <c r="B231" s="1">
        <v>134.1</v>
      </c>
      <c r="C231" s="1" t="s">
        <v>19</v>
      </c>
      <c r="D231" s="1">
        <v>152.7</v>
      </c>
      <c r="E231" s="1">
        <v>2021.0</v>
      </c>
      <c r="F231" s="1">
        <v>17.0</v>
      </c>
      <c r="G231" s="1" t="str">
        <f t="shared" si="1"/>
        <v>Nick</v>
      </c>
      <c r="H231" s="2" t="str">
        <f t="shared" si="2"/>
        <v>Luke</v>
      </c>
    </row>
    <row r="232" outlineLevel="1">
      <c r="A232" s="1" t="s">
        <v>12</v>
      </c>
      <c r="B232" s="1">
        <v>59.2</v>
      </c>
      <c r="C232" s="1" t="s">
        <v>15</v>
      </c>
      <c r="D232" s="1">
        <v>99.85</v>
      </c>
      <c r="E232" s="1">
        <v>2021.0</v>
      </c>
      <c r="F232" s="1">
        <v>17.0</v>
      </c>
      <c r="G232" s="1" t="str">
        <f t="shared" si="1"/>
        <v>Connor</v>
      </c>
      <c r="H232" s="2" t="str">
        <f t="shared" si="2"/>
        <v>Ruben</v>
      </c>
    </row>
    <row r="233" outlineLevel="1">
      <c r="A233" s="1" t="s">
        <v>16</v>
      </c>
      <c r="B233" s="1">
        <v>118.85</v>
      </c>
      <c r="C233" s="1" t="s">
        <v>14</v>
      </c>
      <c r="D233" s="1">
        <v>96.8</v>
      </c>
      <c r="E233" s="1">
        <v>2021.0</v>
      </c>
      <c r="F233" s="1">
        <v>17.0</v>
      </c>
      <c r="G233" s="1" t="str">
        <f t="shared" si="1"/>
        <v>Kyle</v>
      </c>
      <c r="H233" s="2" t="str">
        <f t="shared" si="2"/>
        <v>Griffin</v>
      </c>
    </row>
    <row r="234" outlineLevel="1">
      <c r="A234" s="1" t="s">
        <v>10</v>
      </c>
      <c r="B234" s="1">
        <v>92.6</v>
      </c>
      <c r="C234" s="1" t="s">
        <v>11</v>
      </c>
      <c r="D234" s="1">
        <v>197.85</v>
      </c>
      <c r="E234" s="1">
        <v>2021.0</v>
      </c>
      <c r="F234" s="1">
        <v>17.0</v>
      </c>
      <c r="G234" s="1" t="str">
        <f t="shared" si="1"/>
        <v>Mitch</v>
      </c>
      <c r="H234" s="2" t="str">
        <f t="shared" si="2"/>
        <v>Jacob</v>
      </c>
    </row>
    <row r="235" outlineLevel="1">
      <c r="A235" s="2"/>
      <c r="C235" s="2"/>
      <c r="G235" s="1" t="str">
        <f t="shared" si="1"/>
        <v/>
      </c>
      <c r="H235" s="2" t="str">
        <f t="shared" si="2"/>
        <v/>
      </c>
    </row>
    <row r="236" outlineLevel="1">
      <c r="A236" s="2"/>
      <c r="C236" s="2"/>
      <c r="G236" s="1" t="str">
        <f t="shared" si="1"/>
        <v/>
      </c>
      <c r="H236" s="2" t="str">
        <f t="shared" si="2"/>
        <v/>
      </c>
    </row>
    <row r="237" outlineLevel="1">
      <c r="A237" s="2"/>
      <c r="C237" s="2"/>
      <c r="G237" s="1" t="str">
        <f t="shared" si="1"/>
        <v/>
      </c>
      <c r="H237" s="2" t="str">
        <f t="shared" si="2"/>
        <v/>
      </c>
    </row>
    <row r="238" outlineLevel="1">
      <c r="A238" s="2"/>
      <c r="C238" s="2"/>
      <c r="G238" s="1" t="str">
        <f t="shared" si="1"/>
        <v/>
      </c>
      <c r="H238" s="2" t="str">
        <f t="shared" si="2"/>
        <v/>
      </c>
    </row>
    <row r="239" outlineLevel="1">
      <c r="A239" s="2"/>
      <c r="C239" s="2"/>
      <c r="G239" s="1" t="str">
        <f t="shared" si="1"/>
        <v/>
      </c>
      <c r="H239" s="2" t="str">
        <f t="shared" si="2"/>
        <v/>
      </c>
    </row>
    <row r="240" outlineLevel="1">
      <c r="A240" s="2"/>
      <c r="C240" s="2"/>
      <c r="G240" s="1" t="str">
        <f t="shared" si="1"/>
        <v/>
      </c>
      <c r="H240" s="2" t="str">
        <f t="shared" si="2"/>
        <v/>
      </c>
    </row>
    <row r="241" outlineLevel="1">
      <c r="A241" s="2"/>
      <c r="C241" s="2"/>
      <c r="G241" s="1" t="str">
        <f t="shared" si="1"/>
        <v/>
      </c>
      <c r="H241" s="2" t="str">
        <f t="shared" si="2"/>
        <v/>
      </c>
    </row>
    <row r="242" outlineLevel="1">
      <c r="A242" s="2"/>
      <c r="C242" s="2"/>
      <c r="G242" s="1" t="str">
        <f t="shared" si="1"/>
        <v/>
      </c>
      <c r="H242" s="2" t="str">
        <f t="shared" si="2"/>
        <v/>
      </c>
    </row>
    <row r="243" outlineLevel="1">
      <c r="A243" s="2"/>
      <c r="C243" s="2"/>
      <c r="G243" s="1" t="str">
        <f t="shared" si="1"/>
        <v/>
      </c>
      <c r="H243" s="2" t="str">
        <f t="shared" si="2"/>
        <v/>
      </c>
    </row>
    <row r="244" outlineLevel="1">
      <c r="A244" s="2"/>
      <c r="C244" s="2"/>
      <c r="G244" s="1" t="str">
        <f t="shared" si="1"/>
        <v/>
      </c>
      <c r="H244" s="2" t="str">
        <f t="shared" si="2"/>
        <v/>
      </c>
    </row>
    <row r="245" outlineLevel="1">
      <c r="A245" s="2"/>
      <c r="C245" s="2"/>
      <c r="G245" s="1" t="str">
        <f t="shared" si="1"/>
        <v/>
      </c>
      <c r="H245" s="2" t="str">
        <f t="shared" si="2"/>
        <v/>
      </c>
    </row>
    <row r="246" outlineLevel="1">
      <c r="A246" s="2"/>
      <c r="C246" s="2"/>
      <c r="G246" s="1" t="str">
        <f t="shared" si="1"/>
        <v/>
      </c>
      <c r="H246" s="2" t="str">
        <f t="shared" si="2"/>
        <v/>
      </c>
    </row>
    <row r="247" outlineLevel="1">
      <c r="A247" s="2"/>
      <c r="C247" s="2"/>
      <c r="G247" s="1" t="str">
        <f t="shared" si="1"/>
        <v/>
      </c>
      <c r="H247" s="2" t="str">
        <f t="shared" si="2"/>
        <v/>
      </c>
    </row>
    <row r="248" outlineLevel="1">
      <c r="A248" s="2"/>
      <c r="C248" s="2"/>
      <c r="G248" s="1" t="str">
        <f t="shared" si="1"/>
        <v/>
      </c>
      <c r="H248" s="2" t="str">
        <f t="shared" si="2"/>
        <v/>
      </c>
    </row>
    <row r="249" outlineLevel="1">
      <c r="A249" s="2"/>
      <c r="C249" s="2"/>
      <c r="G249" s="1" t="str">
        <f t="shared" si="1"/>
        <v/>
      </c>
      <c r="H249" s="2" t="str">
        <f t="shared" si="2"/>
        <v/>
      </c>
    </row>
    <row r="250" outlineLevel="1">
      <c r="A250" s="2"/>
      <c r="C250" s="2"/>
      <c r="G250" s="1" t="str">
        <f t="shared" si="1"/>
        <v/>
      </c>
      <c r="H250" s="2" t="str">
        <f t="shared" si="2"/>
        <v/>
      </c>
    </row>
    <row r="251" outlineLevel="1">
      <c r="A251" s="2"/>
      <c r="C251" s="2"/>
      <c r="G251" s="1" t="str">
        <f t="shared" si="1"/>
        <v/>
      </c>
      <c r="H251" s="2" t="str">
        <f t="shared" si="2"/>
        <v/>
      </c>
    </row>
    <row r="252" outlineLevel="1">
      <c r="A252" s="2"/>
      <c r="C252" s="2"/>
      <c r="G252" s="1" t="str">
        <f t="shared" si="1"/>
        <v/>
      </c>
      <c r="H252" s="2" t="str">
        <f t="shared" si="2"/>
        <v/>
      </c>
    </row>
    <row r="253" outlineLevel="1">
      <c r="A253" s="2"/>
      <c r="C253" s="2"/>
      <c r="G253" s="1" t="str">
        <f t="shared" si="1"/>
        <v/>
      </c>
      <c r="H253" s="2" t="str">
        <f t="shared" si="2"/>
        <v/>
      </c>
    </row>
    <row r="254" outlineLevel="1">
      <c r="A254" s="2"/>
      <c r="C254" s="2"/>
      <c r="G254" s="1" t="str">
        <f t="shared" si="1"/>
        <v/>
      </c>
      <c r="H254" s="2" t="str">
        <f t="shared" si="2"/>
        <v/>
      </c>
    </row>
    <row r="255" outlineLevel="1">
      <c r="A255" s="2"/>
      <c r="C255" s="2"/>
      <c r="G255" s="1" t="str">
        <f t="shared" si="1"/>
        <v/>
      </c>
      <c r="H255" s="2" t="str">
        <f t="shared" si="2"/>
        <v/>
      </c>
    </row>
    <row r="256" outlineLevel="1">
      <c r="A256" s="2"/>
      <c r="C256" s="2"/>
      <c r="G256" s="1" t="str">
        <f t="shared" si="1"/>
        <v/>
      </c>
      <c r="H256" s="2" t="str">
        <f t="shared" si="2"/>
        <v/>
      </c>
    </row>
    <row r="257" outlineLevel="1">
      <c r="A257" s="2"/>
      <c r="C257" s="2"/>
      <c r="G257" s="1" t="str">
        <f t="shared" si="1"/>
        <v/>
      </c>
      <c r="H257" s="2" t="str">
        <f t="shared" si="2"/>
        <v/>
      </c>
    </row>
    <row r="258" outlineLevel="1">
      <c r="A258" s="2"/>
      <c r="C258" s="2"/>
      <c r="G258" s="1" t="str">
        <f t="shared" si="1"/>
        <v/>
      </c>
      <c r="H258" s="2" t="str">
        <f t="shared" si="2"/>
        <v/>
      </c>
    </row>
    <row r="259" outlineLevel="1">
      <c r="A259" s="2"/>
      <c r="C259" s="2"/>
      <c r="G259" s="1" t="str">
        <f t="shared" si="1"/>
        <v/>
      </c>
      <c r="H259" s="2" t="str">
        <f t="shared" si="2"/>
        <v/>
      </c>
    </row>
    <row r="260" outlineLevel="1">
      <c r="A260" s="2"/>
      <c r="C260" s="2"/>
      <c r="G260" s="1" t="str">
        <f t="shared" si="1"/>
        <v/>
      </c>
      <c r="H260" s="2" t="str">
        <f t="shared" si="2"/>
        <v/>
      </c>
    </row>
    <row r="261" outlineLevel="1">
      <c r="A261" s="2"/>
      <c r="C261" s="2"/>
      <c r="G261" s="1" t="str">
        <f t="shared" si="1"/>
        <v/>
      </c>
      <c r="H261" s="2" t="str">
        <f t="shared" si="2"/>
        <v/>
      </c>
    </row>
    <row r="262" outlineLevel="1">
      <c r="A262" s="2"/>
      <c r="C262" s="2"/>
      <c r="G262" s="1" t="str">
        <f t="shared" si="1"/>
        <v/>
      </c>
      <c r="H262" s="2" t="str">
        <f t="shared" si="2"/>
        <v/>
      </c>
    </row>
    <row r="263" outlineLevel="1">
      <c r="A263" s="2"/>
      <c r="C263" s="2"/>
      <c r="G263" s="1" t="str">
        <f t="shared" si="1"/>
        <v/>
      </c>
      <c r="H263" s="2" t="str">
        <f t="shared" si="2"/>
        <v/>
      </c>
    </row>
    <row r="264" outlineLevel="1">
      <c r="A264" s="2"/>
      <c r="C264" s="2"/>
      <c r="G264" s="1" t="str">
        <f t="shared" si="1"/>
        <v/>
      </c>
      <c r="H264" s="2" t="str">
        <f t="shared" si="2"/>
        <v/>
      </c>
    </row>
    <row r="265" outlineLevel="1">
      <c r="A265" s="2"/>
      <c r="C265" s="2"/>
      <c r="G265" s="1" t="str">
        <f t="shared" si="1"/>
        <v/>
      </c>
      <c r="H265" s="2" t="str">
        <f t="shared" si="2"/>
        <v/>
      </c>
    </row>
    <row r="266" outlineLevel="1">
      <c r="A266" s="2"/>
      <c r="C266" s="2"/>
      <c r="G266" s="1" t="str">
        <f t="shared" si="1"/>
        <v/>
      </c>
      <c r="H266" s="2" t="str">
        <f t="shared" si="2"/>
        <v/>
      </c>
    </row>
    <row r="267" outlineLevel="1">
      <c r="A267" s="2"/>
      <c r="C267" s="2"/>
      <c r="G267" s="1" t="str">
        <f t="shared" si="1"/>
        <v/>
      </c>
      <c r="H267" s="2" t="str">
        <f t="shared" si="2"/>
        <v/>
      </c>
    </row>
    <row r="268" outlineLevel="1">
      <c r="A268" s="2"/>
      <c r="C268" s="2"/>
      <c r="G268" s="1" t="str">
        <f t="shared" si="1"/>
        <v/>
      </c>
      <c r="H268" s="2" t="str">
        <f t="shared" si="2"/>
        <v/>
      </c>
    </row>
    <row r="269" outlineLevel="1">
      <c r="A269" s="2"/>
      <c r="C269" s="2"/>
      <c r="G269" s="1" t="str">
        <f t="shared" si="1"/>
        <v/>
      </c>
      <c r="H269" s="2" t="str">
        <f t="shared" si="2"/>
        <v/>
      </c>
    </row>
    <row r="270" outlineLevel="1">
      <c r="A270" s="2"/>
      <c r="C270" s="2"/>
      <c r="G270" s="1" t="str">
        <f t="shared" si="1"/>
        <v/>
      </c>
      <c r="H270" s="2" t="str">
        <f t="shared" si="2"/>
        <v/>
      </c>
    </row>
    <row r="271" outlineLevel="1">
      <c r="A271" s="2"/>
      <c r="C271" s="2"/>
      <c r="G271" s="1" t="str">
        <f t="shared" si="1"/>
        <v/>
      </c>
      <c r="H271" s="2" t="str">
        <f t="shared" si="2"/>
        <v/>
      </c>
    </row>
    <row r="272" outlineLevel="1">
      <c r="A272" s="2"/>
      <c r="C272" s="2"/>
      <c r="G272" s="1" t="str">
        <f t="shared" si="1"/>
        <v/>
      </c>
      <c r="H272" s="2" t="str">
        <f t="shared" si="2"/>
        <v/>
      </c>
    </row>
    <row r="273" outlineLevel="1">
      <c r="A273" s="2"/>
      <c r="C273" s="2"/>
      <c r="G273" s="1" t="str">
        <f t="shared" si="1"/>
        <v/>
      </c>
      <c r="H273" s="2" t="str">
        <f t="shared" si="2"/>
        <v/>
      </c>
    </row>
    <row r="274" outlineLevel="1">
      <c r="A274" s="2"/>
      <c r="C274" s="2"/>
      <c r="G274" s="1" t="str">
        <f t="shared" si="1"/>
        <v/>
      </c>
      <c r="H274" s="2" t="str">
        <f t="shared" si="2"/>
        <v/>
      </c>
    </row>
    <row r="275" outlineLevel="1">
      <c r="A275" s="2"/>
      <c r="C275" s="2"/>
      <c r="G275" s="1" t="str">
        <f t="shared" si="1"/>
        <v/>
      </c>
      <c r="H275" s="2" t="str">
        <f t="shared" si="2"/>
        <v/>
      </c>
    </row>
    <row r="276" outlineLevel="1">
      <c r="A276" s="2"/>
      <c r="C276" s="2"/>
      <c r="G276" s="1" t="str">
        <f t="shared" si="1"/>
        <v/>
      </c>
      <c r="H276" s="2" t="str">
        <f t="shared" si="2"/>
        <v/>
      </c>
    </row>
    <row r="277" outlineLevel="1">
      <c r="A277" s="2"/>
      <c r="C277" s="2"/>
      <c r="G277" s="1" t="str">
        <f t="shared" si="1"/>
        <v/>
      </c>
      <c r="H277" s="2" t="str">
        <f t="shared" si="2"/>
        <v/>
      </c>
    </row>
    <row r="278" outlineLevel="1">
      <c r="A278" s="2"/>
      <c r="C278" s="2"/>
      <c r="G278" s="1" t="str">
        <f t="shared" si="1"/>
        <v/>
      </c>
      <c r="H278" s="2" t="str">
        <f t="shared" si="2"/>
        <v/>
      </c>
    </row>
    <row r="279" outlineLevel="1">
      <c r="A279" s="2"/>
      <c r="C279" s="2"/>
      <c r="G279" s="1" t="str">
        <f t="shared" si="1"/>
        <v/>
      </c>
      <c r="H279" s="2" t="str">
        <f t="shared" si="2"/>
        <v/>
      </c>
    </row>
    <row r="280" outlineLevel="1">
      <c r="A280" s="2"/>
      <c r="C280" s="2"/>
      <c r="G280" s="1" t="str">
        <f t="shared" si="1"/>
        <v/>
      </c>
      <c r="H280" s="2" t="str">
        <f t="shared" si="2"/>
        <v/>
      </c>
    </row>
    <row r="281" outlineLevel="1">
      <c r="A281" s="2"/>
      <c r="C281" s="2"/>
      <c r="G281" s="1" t="str">
        <f t="shared" si="1"/>
        <v/>
      </c>
      <c r="H281" s="2" t="str">
        <f t="shared" si="2"/>
        <v/>
      </c>
    </row>
    <row r="282" outlineLevel="1">
      <c r="A282" s="2"/>
      <c r="C282" s="2"/>
      <c r="G282" s="1" t="str">
        <f t="shared" si="1"/>
        <v/>
      </c>
      <c r="H282" s="2" t="str">
        <f t="shared" si="2"/>
        <v/>
      </c>
    </row>
    <row r="283" outlineLevel="1">
      <c r="A283" s="2"/>
      <c r="C283" s="2"/>
      <c r="G283" s="1" t="str">
        <f t="shared" si="1"/>
        <v/>
      </c>
      <c r="H283" s="2" t="str">
        <f t="shared" si="2"/>
        <v/>
      </c>
    </row>
    <row r="284" outlineLevel="1">
      <c r="A284" s="2"/>
      <c r="C284" s="2"/>
      <c r="G284" s="1" t="str">
        <f t="shared" si="1"/>
        <v/>
      </c>
      <c r="H284" s="2" t="str">
        <f t="shared" si="2"/>
        <v/>
      </c>
    </row>
    <row r="285" outlineLevel="1">
      <c r="A285" s="2"/>
      <c r="C285" s="2"/>
      <c r="G285" s="1" t="str">
        <f t="shared" si="1"/>
        <v/>
      </c>
      <c r="H285" s="2" t="str">
        <f t="shared" si="2"/>
        <v/>
      </c>
    </row>
    <row r="286" outlineLevel="1">
      <c r="A286" s="2"/>
      <c r="C286" s="2"/>
      <c r="G286" s="1" t="str">
        <f t="shared" si="1"/>
        <v/>
      </c>
      <c r="H286" s="2" t="str">
        <f t="shared" si="2"/>
        <v/>
      </c>
    </row>
    <row r="287" outlineLevel="1">
      <c r="A287" s="2"/>
      <c r="C287" s="2"/>
      <c r="G287" s="1" t="str">
        <f t="shared" si="1"/>
        <v/>
      </c>
      <c r="H287" s="2" t="str">
        <f t="shared" si="2"/>
        <v/>
      </c>
    </row>
    <row r="288" outlineLevel="1">
      <c r="A288" s="2"/>
      <c r="C288" s="2"/>
      <c r="G288" s="1" t="str">
        <f t="shared" si="1"/>
        <v/>
      </c>
      <c r="H288" s="2" t="str">
        <f t="shared" si="2"/>
        <v/>
      </c>
    </row>
    <row r="289" outlineLevel="1">
      <c r="A289" s="2"/>
      <c r="C289" s="2"/>
      <c r="G289" s="1" t="str">
        <f t="shared" si="1"/>
        <v/>
      </c>
      <c r="H289" s="2" t="str">
        <f t="shared" si="2"/>
        <v/>
      </c>
    </row>
    <row r="290" outlineLevel="1">
      <c r="A290" s="2"/>
      <c r="C290" s="2"/>
      <c r="G290" s="1" t="str">
        <f t="shared" si="1"/>
        <v/>
      </c>
      <c r="H290" s="2" t="str">
        <f t="shared" si="2"/>
        <v/>
      </c>
    </row>
    <row r="291" outlineLevel="1">
      <c r="A291" s="2"/>
      <c r="C291" s="2"/>
      <c r="G291" s="1" t="str">
        <f t="shared" si="1"/>
        <v/>
      </c>
      <c r="H291" s="2" t="str">
        <f t="shared" si="2"/>
        <v/>
      </c>
    </row>
    <row r="292" outlineLevel="1">
      <c r="A292" s="2"/>
      <c r="C292" s="2"/>
      <c r="G292" s="1" t="str">
        <f t="shared" si="1"/>
        <v/>
      </c>
      <c r="H292" s="2" t="str">
        <f t="shared" si="2"/>
        <v/>
      </c>
    </row>
    <row r="293" outlineLevel="1">
      <c r="A293" s="2"/>
      <c r="C293" s="2"/>
      <c r="G293" s="1" t="str">
        <f t="shared" si="1"/>
        <v/>
      </c>
      <c r="H293" s="2" t="str">
        <f t="shared" si="2"/>
        <v/>
      </c>
    </row>
    <row r="294" outlineLevel="1">
      <c r="A294" s="2"/>
      <c r="C294" s="2"/>
      <c r="G294" s="1" t="str">
        <f t="shared" si="1"/>
        <v/>
      </c>
      <c r="H294" s="2" t="str">
        <f t="shared" si="2"/>
        <v/>
      </c>
    </row>
    <row r="295" outlineLevel="1">
      <c r="A295" s="2"/>
      <c r="C295" s="2"/>
      <c r="G295" s="1" t="str">
        <f t="shared" si="1"/>
        <v/>
      </c>
      <c r="H295" s="2" t="str">
        <f t="shared" si="2"/>
        <v/>
      </c>
    </row>
    <row r="296" outlineLevel="1">
      <c r="A296" s="2"/>
      <c r="C296" s="2"/>
      <c r="G296" s="1" t="str">
        <f t="shared" si="1"/>
        <v/>
      </c>
      <c r="H296" s="2" t="str">
        <f t="shared" si="2"/>
        <v/>
      </c>
    </row>
    <row r="297" outlineLevel="1">
      <c r="A297" s="2"/>
      <c r="C297" s="2"/>
      <c r="G297" s="1" t="str">
        <f t="shared" si="1"/>
        <v/>
      </c>
      <c r="H297" s="2" t="str">
        <f t="shared" si="2"/>
        <v/>
      </c>
    </row>
    <row r="298" outlineLevel="1">
      <c r="A298" s="2"/>
      <c r="C298" s="2"/>
      <c r="G298" s="1" t="str">
        <f t="shared" si="1"/>
        <v/>
      </c>
      <c r="H298" s="2" t="str">
        <f t="shared" si="2"/>
        <v/>
      </c>
    </row>
    <row r="299" outlineLevel="1">
      <c r="A299" s="2"/>
      <c r="C299" s="2"/>
      <c r="G299" s="1" t="str">
        <f t="shared" si="1"/>
        <v/>
      </c>
      <c r="H299" s="2" t="str">
        <f t="shared" si="2"/>
        <v/>
      </c>
    </row>
    <row r="300" outlineLevel="1">
      <c r="A300" s="2"/>
      <c r="C300" s="2"/>
      <c r="G300" s="1" t="str">
        <f t="shared" si="1"/>
        <v/>
      </c>
      <c r="H300" s="2" t="str">
        <f t="shared" si="2"/>
        <v/>
      </c>
    </row>
    <row r="301" outlineLevel="1">
      <c r="A301" s="2"/>
      <c r="C301" s="2"/>
      <c r="G301" s="1" t="str">
        <f t="shared" si="1"/>
        <v/>
      </c>
      <c r="H301" s="2" t="str">
        <f t="shared" si="2"/>
        <v/>
      </c>
    </row>
    <row r="302" outlineLevel="1">
      <c r="A302" s="2"/>
      <c r="C302" s="2"/>
      <c r="G302" s="1" t="str">
        <f t="shared" si="1"/>
        <v/>
      </c>
      <c r="H302" s="2" t="str">
        <f t="shared" si="2"/>
        <v/>
      </c>
    </row>
    <row r="303" outlineLevel="1">
      <c r="A303" s="2"/>
      <c r="C303" s="2"/>
      <c r="G303" s="1" t="str">
        <f t="shared" si="1"/>
        <v/>
      </c>
      <c r="H303" s="2" t="str">
        <f t="shared" si="2"/>
        <v/>
      </c>
    </row>
    <row r="304" outlineLevel="1">
      <c r="A304" s="2"/>
      <c r="C304" s="2"/>
      <c r="G304" s="1" t="str">
        <f t="shared" si="1"/>
        <v/>
      </c>
      <c r="H304" s="2" t="str">
        <f t="shared" si="2"/>
        <v/>
      </c>
    </row>
    <row r="305" outlineLevel="1">
      <c r="A305" s="2"/>
      <c r="C305" s="2"/>
      <c r="G305" s="1" t="str">
        <f t="shared" si="1"/>
        <v/>
      </c>
      <c r="H305" s="2" t="str">
        <f t="shared" si="2"/>
        <v/>
      </c>
    </row>
    <row r="306" outlineLevel="1">
      <c r="A306" s="2"/>
      <c r="C306" s="2"/>
      <c r="G306" s="1" t="str">
        <f t="shared" si="1"/>
        <v/>
      </c>
      <c r="H306" s="2" t="str">
        <f t="shared" si="2"/>
        <v/>
      </c>
    </row>
    <row r="307" outlineLevel="1">
      <c r="A307" s="2"/>
      <c r="C307" s="2"/>
      <c r="G307" s="1" t="str">
        <f t="shared" si="1"/>
        <v/>
      </c>
      <c r="H307" s="2" t="str">
        <f t="shared" si="2"/>
        <v/>
      </c>
    </row>
    <row r="308" outlineLevel="1">
      <c r="A308" s="2"/>
      <c r="C308" s="2"/>
      <c r="G308" s="1" t="str">
        <f t="shared" si="1"/>
        <v/>
      </c>
      <c r="H308" s="2" t="str">
        <f t="shared" si="2"/>
        <v/>
      </c>
    </row>
    <row r="309" outlineLevel="1">
      <c r="A309" s="2"/>
      <c r="C309" s="2"/>
      <c r="G309" s="1" t="str">
        <f t="shared" si="1"/>
        <v/>
      </c>
      <c r="H309" s="2" t="str">
        <f t="shared" si="2"/>
        <v/>
      </c>
    </row>
    <row r="310" outlineLevel="1">
      <c r="A310" s="2"/>
      <c r="C310" s="2"/>
      <c r="G310" s="1" t="str">
        <f t="shared" si="1"/>
        <v/>
      </c>
      <c r="H310" s="2" t="str">
        <f t="shared" si="2"/>
        <v/>
      </c>
    </row>
    <row r="311" outlineLevel="1">
      <c r="A311" s="2"/>
      <c r="C311" s="2"/>
      <c r="G311" s="1" t="str">
        <f t="shared" si="1"/>
        <v/>
      </c>
      <c r="H311" s="2" t="str">
        <f t="shared" si="2"/>
        <v/>
      </c>
    </row>
    <row r="312" outlineLevel="1">
      <c r="A312" s="2"/>
      <c r="C312" s="2"/>
      <c r="G312" s="1" t="str">
        <f t="shared" si="1"/>
        <v/>
      </c>
      <c r="H312" s="2" t="str">
        <f t="shared" si="2"/>
        <v/>
      </c>
    </row>
    <row r="313" outlineLevel="1">
      <c r="A313" s="2"/>
      <c r="C313" s="2"/>
      <c r="G313" s="1" t="str">
        <f t="shared" si="1"/>
        <v/>
      </c>
      <c r="H313" s="2" t="str">
        <f t="shared" si="2"/>
        <v/>
      </c>
    </row>
    <row r="314" outlineLevel="1">
      <c r="A314" s="2"/>
      <c r="C314" s="2"/>
      <c r="G314" s="1" t="str">
        <f t="shared" si="1"/>
        <v/>
      </c>
      <c r="H314" s="2" t="str">
        <f t="shared" si="2"/>
        <v/>
      </c>
    </row>
    <row r="315" outlineLevel="1">
      <c r="A315" s="2"/>
      <c r="C315" s="2"/>
      <c r="G315" s="1" t="str">
        <f t="shared" si="1"/>
        <v/>
      </c>
      <c r="H315" s="2" t="str">
        <f t="shared" si="2"/>
        <v/>
      </c>
    </row>
    <row r="316" outlineLevel="1">
      <c r="A316" s="2"/>
      <c r="C316" s="2"/>
      <c r="G316" s="1" t="str">
        <f t="shared" si="1"/>
        <v/>
      </c>
      <c r="H316" s="2" t="str">
        <f t="shared" si="2"/>
        <v/>
      </c>
    </row>
    <row r="317" outlineLevel="1">
      <c r="A317" s="2"/>
      <c r="C317" s="2"/>
      <c r="G317" s="1" t="str">
        <f t="shared" si="1"/>
        <v/>
      </c>
      <c r="H317" s="2" t="str">
        <f t="shared" si="2"/>
        <v/>
      </c>
    </row>
    <row r="318" outlineLevel="1">
      <c r="A318" s="2"/>
      <c r="C318" s="2"/>
      <c r="G318" s="1" t="str">
        <f t="shared" si="1"/>
        <v/>
      </c>
      <c r="H318" s="2" t="str">
        <f t="shared" si="2"/>
        <v/>
      </c>
    </row>
    <row r="319" outlineLevel="1">
      <c r="A319" s="2"/>
      <c r="C319" s="2"/>
      <c r="G319" s="1" t="str">
        <f t="shared" si="1"/>
        <v/>
      </c>
      <c r="H319" s="2" t="str">
        <f t="shared" si="2"/>
        <v/>
      </c>
    </row>
    <row r="320" outlineLevel="1">
      <c r="A320" s="2"/>
      <c r="C320" s="2"/>
      <c r="G320" s="1" t="str">
        <f t="shared" si="1"/>
        <v/>
      </c>
      <c r="H320" s="2" t="str">
        <f t="shared" si="2"/>
        <v/>
      </c>
    </row>
    <row r="321" outlineLevel="1">
      <c r="A321" s="2"/>
      <c r="C321" s="2"/>
      <c r="G321" s="1" t="str">
        <f t="shared" si="1"/>
        <v/>
      </c>
      <c r="H321" s="2" t="str">
        <f t="shared" si="2"/>
        <v/>
      </c>
    </row>
    <row r="322" outlineLevel="1">
      <c r="A322" s="2"/>
      <c r="C322" s="2"/>
      <c r="G322" s="1" t="str">
        <f t="shared" si="1"/>
        <v/>
      </c>
      <c r="H322" s="2" t="str">
        <f t="shared" si="2"/>
        <v/>
      </c>
    </row>
    <row r="323" outlineLevel="1">
      <c r="A323" s="2"/>
      <c r="C323" s="2"/>
      <c r="G323" s="1" t="str">
        <f t="shared" si="1"/>
        <v/>
      </c>
      <c r="H323" s="2" t="str">
        <f t="shared" si="2"/>
        <v/>
      </c>
    </row>
    <row r="324" outlineLevel="1">
      <c r="A324" s="2"/>
      <c r="C324" s="2"/>
      <c r="G324" s="1" t="str">
        <f t="shared" si="1"/>
        <v/>
      </c>
      <c r="H324" s="2" t="str">
        <f t="shared" si="2"/>
        <v/>
      </c>
    </row>
    <row r="325" outlineLevel="1">
      <c r="A325" s="2"/>
      <c r="C325" s="2"/>
      <c r="G325" s="1" t="str">
        <f t="shared" si="1"/>
        <v/>
      </c>
      <c r="H325" s="2" t="str">
        <f t="shared" si="2"/>
        <v/>
      </c>
    </row>
    <row r="326" outlineLevel="1">
      <c r="A326" s="2"/>
      <c r="C326" s="2"/>
      <c r="G326" s="1" t="str">
        <f t="shared" si="1"/>
        <v/>
      </c>
      <c r="H326" s="2" t="str">
        <f t="shared" si="2"/>
        <v/>
      </c>
    </row>
    <row r="327" outlineLevel="1">
      <c r="A327" s="2"/>
      <c r="C327" s="2"/>
      <c r="G327" s="1" t="str">
        <f t="shared" si="1"/>
        <v/>
      </c>
      <c r="H327" s="2" t="str">
        <f t="shared" si="2"/>
        <v/>
      </c>
    </row>
    <row r="328" outlineLevel="1">
      <c r="A328" s="2"/>
      <c r="C328" s="2"/>
      <c r="G328" s="1" t="str">
        <f t="shared" si="1"/>
        <v/>
      </c>
      <c r="H328" s="2" t="str">
        <f t="shared" si="2"/>
        <v/>
      </c>
    </row>
    <row r="329" outlineLevel="1">
      <c r="A329" s="2"/>
      <c r="C329" s="2"/>
      <c r="G329" s="1" t="str">
        <f t="shared" si="1"/>
        <v/>
      </c>
      <c r="H329" s="2" t="str">
        <f t="shared" si="2"/>
        <v/>
      </c>
    </row>
    <row r="330" outlineLevel="1">
      <c r="A330" s="2"/>
      <c r="C330" s="2"/>
      <c r="G330" s="1" t="str">
        <f t="shared" si="1"/>
        <v/>
      </c>
      <c r="H330" s="2" t="str">
        <f t="shared" si="2"/>
        <v/>
      </c>
    </row>
    <row r="331" outlineLevel="1">
      <c r="A331" s="2"/>
      <c r="C331" s="2"/>
      <c r="G331" s="1" t="str">
        <f t="shared" si="1"/>
        <v/>
      </c>
      <c r="H331" s="2" t="str">
        <f t="shared" si="2"/>
        <v/>
      </c>
    </row>
    <row r="332" outlineLevel="1">
      <c r="A332" s="2"/>
      <c r="C332" s="2"/>
      <c r="G332" s="1" t="str">
        <f t="shared" si="1"/>
        <v/>
      </c>
      <c r="H332" s="2" t="str">
        <f t="shared" si="2"/>
        <v/>
      </c>
    </row>
    <row r="333" outlineLevel="1">
      <c r="A333" s="2"/>
      <c r="C333" s="2"/>
      <c r="G333" s="1" t="str">
        <f t="shared" si="1"/>
        <v/>
      </c>
      <c r="H333" s="2" t="str">
        <f t="shared" si="2"/>
        <v/>
      </c>
    </row>
    <row r="334" outlineLevel="1">
      <c r="A334" s="2"/>
      <c r="C334" s="2"/>
      <c r="G334" s="1" t="str">
        <f t="shared" si="1"/>
        <v/>
      </c>
      <c r="H334" s="2" t="str">
        <f t="shared" si="2"/>
        <v/>
      </c>
    </row>
    <row r="335" outlineLevel="1">
      <c r="A335" s="2"/>
      <c r="C335" s="2"/>
      <c r="G335" s="1" t="str">
        <f t="shared" si="1"/>
        <v/>
      </c>
      <c r="H335" s="2" t="str">
        <f t="shared" si="2"/>
        <v/>
      </c>
    </row>
    <row r="336" outlineLevel="1">
      <c r="A336" s="2"/>
      <c r="C336" s="2"/>
      <c r="G336" s="1" t="str">
        <f t="shared" si="1"/>
        <v/>
      </c>
      <c r="H336" s="2" t="str">
        <f t="shared" si="2"/>
        <v/>
      </c>
    </row>
    <row r="337" outlineLevel="1">
      <c r="A337" s="2"/>
      <c r="C337" s="2"/>
      <c r="G337" s="1" t="str">
        <f t="shared" si="1"/>
        <v/>
      </c>
      <c r="H337" s="2" t="str">
        <f t="shared" si="2"/>
        <v/>
      </c>
    </row>
    <row r="338" outlineLevel="1">
      <c r="A338" s="2"/>
      <c r="C338" s="2"/>
      <c r="G338" s="1" t="str">
        <f t="shared" si="1"/>
        <v/>
      </c>
      <c r="H338" s="2" t="str">
        <f t="shared" si="2"/>
        <v/>
      </c>
    </row>
    <row r="339" outlineLevel="1">
      <c r="A339" s="2"/>
      <c r="C339" s="2"/>
      <c r="G339" s="1" t="str">
        <f t="shared" si="1"/>
        <v/>
      </c>
      <c r="H339" s="2" t="str">
        <f t="shared" si="2"/>
        <v/>
      </c>
    </row>
    <row r="340" outlineLevel="1">
      <c r="A340" s="2"/>
      <c r="C340" s="2"/>
      <c r="G340" s="1" t="str">
        <f t="shared" si="1"/>
        <v/>
      </c>
      <c r="H340" s="2" t="str">
        <f t="shared" si="2"/>
        <v/>
      </c>
    </row>
    <row r="341" outlineLevel="1">
      <c r="A341" s="2"/>
      <c r="C341" s="2"/>
      <c r="G341" s="1" t="str">
        <f t="shared" si="1"/>
        <v/>
      </c>
      <c r="H341" s="2" t="str">
        <f t="shared" si="2"/>
        <v/>
      </c>
    </row>
    <row r="342" outlineLevel="1">
      <c r="A342" s="2"/>
      <c r="C342" s="2"/>
      <c r="G342" s="1" t="str">
        <f t="shared" si="1"/>
        <v/>
      </c>
      <c r="H342" s="2" t="str">
        <f t="shared" si="2"/>
        <v/>
      </c>
    </row>
    <row r="343" outlineLevel="1">
      <c r="A343" s="2"/>
      <c r="C343" s="2"/>
      <c r="G343" s="1" t="str">
        <f t="shared" si="1"/>
        <v/>
      </c>
      <c r="H343" s="2" t="str">
        <f t="shared" si="2"/>
        <v/>
      </c>
    </row>
    <row r="344" outlineLevel="1">
      <c r="A344" s="2"/>
      <c r="C344" s="2"/>
      <c r="G344" s="1" t="str">
        <f t="shared" si="1"/>
        <v/>
      </c>
      <c r="H344" s="2" t="str">
        <f t="shared" si="2"/>
        <v/>
      </c>
    </row>
    <row r="345" outlineLevel="1">
      <c r="A345" s="2"/>
      <c r="C345" s="2"/>
      <c r="G345" s="1" t="str">
        <f t="shared" si="1"/>
        <v/>
      </c>
      <c r="H345" s="2" t="str">
        <f t="shared" si="2"/>
        <v/>
      </c>
    </row>
    <row r="346" outlineLevel="1">
      <c r="A346" s="2"/>
      <c r="C346" s="2"/>
      <c r="G346" s="1" t="str">
        <f t="shared" si="1"/>
        <v/>
      </c>
      <c r="H346" s="2" t="str">
        <f t="shared" si="2"/>
        <v/>
      </c>
    </row>
    <row r="347" outlineLevel="1">
      <c r="A347" s="2"/>
      <c r="C347" s="2"/>
      <c r="G347" s="1" t="str">
        <f t="shared" si="1"/>
        <v/>
      </c>
      <c r="H347" s="2" t="str">
        <f t="shared" si="2"/>
        <v/>
      </c>
    </row>
    <row r="348" outlineLevel="1">
      <c r="A348" s="2"/>
      <c r="C348" s="2"/>
      <c r="G348" s="1" t="str">
        <f t="shared" si="1"/>
        <v/>
      </c>
      <c r="H348" s="2" t="str">
        <f t="shared" si="2"/>
        <v/>
      </c>
    </row>
    <row r="349" outlineLevel="1">
      <c r="A349" s="2"/>
      <c r="C349" s="2"/>
      <c r="G349" s="1" t="str">
        <f t="shared" si="1"/>
        <v/>
      </c>
      <c r="H349" s="2" t="str">
        <f t="shared" si="2"/>
        <v/>
      </c>
    </row>
    <row r="350" outlineLevel="1">
      <c r="A350" s="2"/>
      <c r="C350" s="2"/>
      <c r="G350" s="1" t="str">
        <f t="shared" si="1"/>
        <v/>
      </c>
      <c r="H350" s="2" t="str">
        <f t="shared" si="2"/>
        <v/>
      </c>
    </row>
    <row r="351" outlineLevel="1">
      <c r="A351" s="2"/>
      <c r="C351" s="2"/>
      <c r="G351" s="1" t="str">
        <f t="shared" si="1"/>
        <v/>
      </c>
      <c r="H351" s="2" t="str">
        <f t="shared" si="2"/>
        <v/>
      </c>
    </row>
    <row r="352" outlineLevel="1">
      <c r="A352" s="2"/>
      <c r="C352" s="2"/>
      <c r="G352" s="1" t="str">
        <f t="shared" si="1"/>
        <v/>
      </c>
      <c r="H352" s="2" t="str">
        <f t="shared" si="2"/>
        <v/>
      </c>
    </row>
    <row r="353" outlineLevel="1">
      <c r="A353" s="2"/>
      <c r="C353" s="2"/>
      <c r="G353" s="1" t="str">
        <f t="shared" si="1"/>
        <v/>
      </c>
      <c r="H353" s="2" t="str">
        <f t="shared" si="2"/>
        <v/>
      </c>
    </row>
    <row r="354" outlineLevel="1">
      <c r="A354" s="2"/>
      <c r="C354" s="2"/>
      <c r="G354" s="1" t="str">
        <f t="shared" si="1"/>
        <v/>
      </c>
      <c r="H354" s="2" t="str">
        <f t="shared" si="2"/>
        <v/>
      </c>
    </row>
    <row r="355" outlineLevel="1">
      <c r="A355" s="2"/>
      <c r="C355" s="2"/>
      <c r="G355" s="1" t="str">
        <f t="shared" si="1"/>
        <v/>
      </c>
      <c r="H355" s="2" t="str">
        <f t="shared" si="2"/>
        <v/>
      </c>
    </row>
    <row r="356" outlineLevel="1">
      <c r="A356" s="2"/>
      <c r="C356" s="2"/>
      <c r="G356" s="1" t="str">
        <f t="shared" si="1"/>
        <v/>
      </c>
      <c r="H356" s="2" t="str">
        <f t="shared" si="2"/>
        <v/>
      </c>
    </row>
    <row r="357" outlineLevel="1">
      <c r="A357" s="2"/>
      <c r="C357" s="2"/>
      <c r="G357" s="1" t="str">
        <f t="shared" si="1"/>
        <v/>
      </c>
      <c r="H357" s="2" t="str">
        <f t="shared" si="2"/>
        <v/>
      </c>
    </row>
    <row r="358" outlineLevel="1">
      <c r="A358" s="2"/>
      <c r="C358" s="2"/>
      <c r="G358" s="1" t="str">
        <f t="shared" si="1"/>
        <v/>
      </c>
      <c r="H358" s="2" t="str">
        <f t="shared" si="2"/>
        <v/>
      </c>
    </row>
    <row r="359" outlineLevel="1">
      <c r="A359" s="2"/>
      <c r="C359" s="2"/>
      <c r="G359" s="1" t="str">
        <f t="shared" si="1"/>
        <v/>
      </c>
      <c r="H359" s="2" t="str">
        <f t="shared" si="2"/>
        <v/>
      </c>
    </row>
    <row r="360" outlineLevel="1">
      <c r="A360" s="2"/>
      <c r="C360" s="2"/>
      <c r="G360" s="1" t="str">
        <f t="shared" si="1"/>
        <v/>
      </c>
      <c r="H360" s="2" t="str">
        <f t="shared" si="2"/>
        <v/>
      </c>
    </row>
    <row r="361" outlineLevel="1">
      <c r="A361" s="2"/>
      <c r="C361" s="2"/>
      <c r="G361" s="1" t="str">
        <f t="shared" si="1"/>
        <v/>
      </c>
      <c r="H361" s="2" t="str">
        <f t="shared" si="2"/>
        <v/>
      </c>
    </row>
    <row r="362" outlineLevel="1">
      <c r="A362" s="2"/>
      <c r="C362" s="2"/>
      <c r="G362" s="1" t="str">
        <f t="shared" si="1"/>
        <v/>
      </c>
      <c r="H362" s="2" t="str">
        <f t="shared" si="2"/>
        <v/>
      </c>
    </row>
    <row r="363" outlineLevel="1">
      <c r="A363" s="2"/>
      <c r="C363" s="2"/>
      <c r="G363" s="1" t="str">
        <f t="shared" si="1"/>
        <v/>
      </c>
      <c r="H363" s="2" t="str">
        <f t="shared" si="2"/>
        <v/>
      </c>
    </row>
    <row r="364" outlineLevel="1">
      <c r="A364" s="2"/>
      <c r="C364" s="2"/>
      <c r="G364" s="1" t="str">
        <f t="shared" si="1"/>
        <v/>
      </c>
      <c r="H364" s="2" t="str">
        <f t="shared" si="2"/>
        <v/>
      </c>
    </row>
    <row r="365" outlineLevel="1">
      <c r="A365" s="2"/>
      <c r="C365" s="2"/>
      <c r="G365" s="1" t="str">
        <f t="shared" si="1"/>
        <v/>
      </c>
      <c r="H365" s="2" t="str">
        <f t="shared" si="2"/>
        <v/>
      </c>
    </row>
    <row r="366" outlineLevel="1">
      <c r="A366" s="2"/>
      <c r="C366" s="2"/>
      <c r="G366" s="1" t="str">
        <f t="shared" si="1"/>
        <v/>
      </c>
      <c r="H366" s="2" t="str">
        <f t="shared" si="2"/>
        <v/>
      </c>
    </row>
    <row r="367" outlineLevel="1">
      <c r="A367" s="2"/>
      <c r="C367" s="2"/>
      <c r="G367" s="1" t="str">
        <f t="shared" si="1"/>
        <v/>
      </c>
      <c r="H367" s="2" t="str">
        <f t="shared" si="2"/>
        <v/>
      </c>
    </row>
    <row r="368" outlineLevel="1">
      <c r="A368" s="2"/>
      <c r="C368" s="2"/>
      <c r="G368" s="1" t="str">
        <f t="shared" si="1"/>
        <v/>
      </c>
      <c r="H368" s="2" t="str">
        <f t="shared" si="2"/>
        <v/>
      </c>
    </row>
    <row r="369" outlineLevel="1">
      <c r="A369" s="2"/>
      <c r="C369" s="2"/>
      <c r="G369" s="1" t="str">
        <f t="shared" si="1"/>
        <v/>
      </c>
      <c r="H369" s="2" t="str">
        <f t="shared" si="2"/>
        <v/>
      </c>
    </row>
    <row r="370" outlineLevel="1">
      <c r="A370" s="2"/>
      <c r="C370" s="2"/>
      <c r="G370" s="1" t="str">
        <f t="shared" si="1"/>
        <v/>
      </c>
      <c r="H370" s="2" t="str">
        <f t="shared" si="2"/>
        <v/>
      </c>
    </row>
    <row r="371" outlineLevel="1">
      <c r="A371" s="2"/>
      <c r="C371" s="2"/>
      <c r="G371" s="1" t="str">
        <f t="shared" si="1"/>
        <v/>
      </c>
      <c r="H371" s="2" t="str">
        <f t="shared" si="2"/>
        <v/>
      </c>
    </row>
    <row r="372" outlineLevel="1">
      <c r="A372" s="2"/>
      <c r="C372" s="2"/>
      <c r="G372" s="1" t="str">
        <f t="shared" si="1"/>
        <v/>
      </c>
      <c r="H372" s="2" t="str">
        <f t="shared" si="2"/>
        <v/>
      </c>
    </row>
    <row r="373" outlineLevel="1">
      <c r="A373" s="2"/>
      <c r="C373" s="2"/>
      <c r="G373" s="1" t="str">
        <f t="shared" si="1"/>
        <v/>
      </c>
      <c r="H373" s="2" t="str">
        <f t="shared" si="2"/>
        <v/>
      </c>
    </row>
    <row r="374" outlineLevel="1">
      <c r="A374" s="2"/>
      <c r="C374" s="2"/>
      <c r="G374" s="1" t="str">
        <f t="shared" si="1"/>
        <v/>
      </c>
      <c r="H374" s="2" t="str">
        <f t="shared" si="2"/>
        <v/>
      </c>
    </row>
    <row r="375" outlineLevel="1">
      <c r="A375" s="2"/>
      <c r="C375" s="2"/>
      <c r="G375" s="1" t="str">
        <f t="shared" si="1"/>
        <v/>
      </c>
      <c r="H375" s="2" t="str">
        <f t="shared" si="2"/>
        <v/>
      </c>
    </row>
    <row r="376" outlineLevel="1">
      <c r="A376" s="2"/>
      <c r="C376" s="2"/>
      <c r="G376" s="1" t="str">
        <f t="shared" si="1"/>
        <v/>
      </c>
      <c r="H376" s="2" t="str">
        <f t="shared" si="2"/>
        <v/>
      </c>
    </row>
    <row r="377" outlineLevel="1">
      <c r="A377" s="2"/>
      <c r="C377" s="2"/>
      <c r="G377" s="1" t="str">
        <f t="shared" si="1"/>
        <v/>
      </c>
      <c r="H377" s="2" t="str">
        <f t="shared" si="2"/>
        <v/>
      </c>
    </row>
    <row r="378" outlineLevel="1">
      <c r="A378" s="2"/>
      <c r="C378" s="2"/>
      <c r="G378" s="1" t="str">
        <f t="shared" si="1"/>
        <v/>
      </c>
      <c r="H378" s="2" t="str">
        <f t="shared" si="2"/>
        <v/>
      </c>
    </row>
    <row r="379" outlineLevel="1">
      <c r="A379" s="2"/>
      <c r="C379" s="2"/>
      <c r="G379" s="1" t="str">
        <f t="shared" si="1"/>
        <v/>
      </c>
      <c r="H379" s="2" t="str">
        <f t="shared" si="2"/>
        <v/>
      </c>
    </row>
    <row r="380" outlineLevel="1">
      <c r="A380" s="2"/>
      <c r="C380" s="2"/>
      <c r="G380" s="1" t="str">
        <f t="shared" si="1"/>
        <v/>
      </c>
      <c r="H380" s="2" t="str">
        <f t="shared" si="2"/>
        <v/>
      </c>
    </row>
    <row r="381" outlineLevel="1">
      <c r="A381" s="2"/>
      <c r="C381" s="2"/>
      <c r="G381" s="1" t="str">
        <f t="shared" si="1"/>
        <v/>
      </c>
      <c r="H381" s="2" t="str">
        <f t="shared" si="2"/>
        <v/>
      </c>
    </row>
    <row r="382" outlineLevel="1">
      <c r="A382" s="2"/>
      <c r="C382" s="2"/>
      <c r="G382" s="1" t="str">
        <f t="shared" si="1"/>
        <v/>
      </c>
      <c r="H382" s="2" t="str">
        <f t="shared" si="2"/>
        <v/>
      </c>
    </row>
    <row r="383" outlineLevel="1">
      <c r="A383" s="2"/>
      <c r="C383" s="2"/>
      <c r="G383" s="1" t="str">
        <f t="shared" si="1"/>
        <v/>
      </c>
      <c r="H383" s="2" t="str">
        <f t="shared" si="2"/>
        <v/>
      </c>
    </row>
    <row r="384" outlineLevel="1">
      <c r="A384" s="2"/>
      <c r="C384" s="2"/>
      <c r="G384" s="1" t="str">
        <f t="shared" si="1"/>
        <v/>
      </c>
      <c r="H384" s="2" t="str">
        <f t="shared" si="2"/>
        <v/>
      </c>
    </row>
    <row r="385" outlineLevel="1">
      <c r="A385" s="2"/>
      <c r="C385" s="2"/>
      <c r="G385" s="1" t="str">
        <f t="shared" si="1"/>
        <v/>
      </c>
      <c r="H385" s="2" t="str">
        <f t="shared" si="2"/>
        <v/>
      </c>
    </row>
    <row r="386" outlineLevel="1">
      <c r="A386" s="2"/>
      <c r="C386" s="2"/>
      <c r="G386" s="1" t="str">
        <f t="shared" si="1"/>
        <v/>
      </c>
      <c r="H386" s="2" t="str">
        <f t="shared" si="2"/>
        <v/>
      </c>
    </row>
    <row r="387" outlineLevel="1">
      <c r="A387" s="2"/>
      <c r="C387" s="2"/>
      <c r="G387" s="1" t="str">
        <f t="shared" si="1"/>
        <v/>
      </c>
      <c r="H387" s="2" t="str">
        <f t="shared" si="2"/>
        <v/>
      </c>
    </row>
    <row r="388" outlineLevel="1">
      <c r="A388" s="2"/>
      <c r="C388" s="2"/>
      <c r="G388" s="1" t="str">
        <f t="shared" si="1"/>
        <v/>
      </c>
      <c r="H388" s="2" t="str">
        <f t="shared" si="2"/>
        <v/>
      </c>
    </row>
    <row r="389" outlineLevel="1">
      <c r="A389" s="2"/>
      <c r="C389" s="2"/>
      <c r="G389" s="1" t="str">
        <f t="shared" si="1"/>
        <v/>
      </c>
      <c r="H389" s="2" t="str">
        <f t="shared" si="2"/>
        <v/>
      </c>
    </row>
    <row r="390" outlineLevel="1">
      <c r="A390" s="2"/>
      <c r="C390" s="2"/>
      <c r="G390" s="1" t="str">
        <f t="shared" si="1"/>
        <v/>
      </c>
      <c r="H390" s="2" t="str">
        <f t="shared" si="2"/>
        <v/>
      </c>
    </row>
    <row r="391" outlineLevel="1">
      <c r="A391" s="2"/>
      <c r="C391" s="2"/>
      <c r="G391" s="1" t="str">
        <f t="shared" si="1"/>
        <v/>
      </c>
      <c r="H391" s="2" t="str">
        <f t="shared" si="2"/>
        <v/>
      </c>
    </row>
    <row r="392" outlineLevel="1">
      <c r="A392" s="2"/>
      <c r="C392" s="2"/>
      <c r="G392" s="1" t="str">
        <f t="shared" si="1"/>
        <v/>
      </c>
      <c r="H392" s="2" t="str">
        <f t="shared" si="2"/>
        <v/>
      </c>
    </row>
    <row r="393" outlineLevel="1">
      <c r="A393" s="2"/>
      <c r="C393" s="2"/>
      <c r="G393" s="1" t="str">
        <f t="shared" si="1"/>
        <v/>
      </c>
      <c r="H393" s="2" t="str">
        <f t="shared" si="2"/>
        <v/>
      </c>
    </row>
    <row r="394" outlineLevel="1">
      <c r="A394" s="2"/>
      <c r="C394" s="2"/>
      <c r="G394" s="1" t="str">
        <f t="shared" si="1"/>
        <v/>
      </c>
      <c r="H394" s="2" t="str">
        <f t="shared" si="2"/>
        <v/>
      </c>
    </row>
    <row r="395" outlineLevel="1">
      <c r="A395" s="2"/>
      <c r="C395" s="2"/>
      <c r="G395" s="1" t="str">
        <f t="shared" si="1"/>
        <v/>
      </c>
      <c r="H395" s="2" t="str">
        <f t="shared" si="2"/>
        <v/>
      </c>
    </row>
    <row r="396" outlineLevel="1">
      <c r="A396" s="2"/>
      <c r="C396" s="2"/>
      <c r="G396" s="1" t="str">
        <f t="shared" si="1"/>
        <v/>
      </c>
      <c r="H396" s="2" t="str">
        <f t="shared" si="2"/>
        <v/>
      </c>
    </row>
    <row r="397" outlineLevel="1">
      <c r="A397" s="2"/>
      <c r="C397" s="2"/>
      <c r="G397" s="1" t="str">
        <f t="shared" si="1"/>
        <v/>
      </c>
      <c r="H397" s="2" t="str">
        <f t="shared" si="2"/>
        <v/>
      </c>
    </row>
    <row r="398" outlineLevel="1">
      <c r="A398" s="2"/>
      <c r="C398" s="2"/>
      <c r="G398" s="1" t="str">
        <f t="shared" si="1"/>
        <v/>
      </c>
      <c r="H398" s="2" t="str">
        <f t="shared" si="2"/>
        <v/>
      </c>
    </row>
    <row r="399" outlineLevel="1">
      <c r="A399" s="2"/>
      <c r="C399" s="2"/>
      <c r="G399" s="1" t="str">
        <f t="shared" si="1"/>
        <v/>
      </c>
      <c r="H399" s="2" t="str">
        <f t="shared" si="2"/>
        <v/>
      </c>
    </row>
    <row r="400" outlineLevel="1">
      <c r="A400" s="2"/>
      <c r="C400" s="2"/>
      <c r="G400" s="1" t="str">
        <f t="shared" si="1"/>
        <v/>
      </c>
      <c r="H400" s="2" t="str">
        <f t="shared" si="2"/>
        <v/>
      </c>
    </row>
    <row r="401" outlineLevel="1">
      <c r="A401" s="2"/>
      <c r="C401" s="2"/>
      <c r="G401" s="1" t="str">
        <f t="shared" si="1"/>
        <v/>
      </c>
      <c r="H401" s="2" t="str">
        <f t="shared" si="2"/>
        <v/>
      </c>
    </row>
    <row r="402" outlineLevel="1">
      <c r="A402" s="2"/>
      <c r="C402" s="2"/>
      <c r="G402" s="1" t="str">
        <f t="shared" si="1"/>
        <v/>
      </c>
      <c r="H402" s="2" t="str">
        <f t="shared" si="2"/>
        <v/>
      </c>
    </row>
    <row r="403" outlineLevel="1">
      <c r="A403" s="2"/>
      <c r="C403" s="2"/>
      <c r="G403" s="1" t="str">
        <f t="shared" si="1"/>
        <v/>
      </c>
      <c r="H403" s="2" t="str">
        <f t="shared" si="2"/>
        <v/>
      </c>
    </row>
    <row r="404" outlineLevel="1">
      <c r="A404" s="2"/>
      <c r="C404" s="2"/>
      <c r="G404" s="1" t="str">
        <f t="shared" si="1"/>
        <v/>
      </c>
      <c r="H404" s="2" t="str">
        <f t="shared" si="2"/>
        <v/>
      </c>
    </row>
    <row r="405" outlineLevel="1">
      <c r="A405" s="2"/>
      <c r="C405" s="2"/>
      <c r="G405" s="1" t="str">
        <f t="shared" si="1"/>
        <v/>
      </c>
      <c r="H405" s="2" t="str">
        <f t="shared" si="2"/>
        <v/>
      </c>
    </row>
    <row r="406" outlineLevel="1">
      <c r="A406" s="2"/>
      <c r="C406" s="2"/>
      <c r="G406" s="1" t="str">
        <f t="shared" si="1"/>
        <v/>
      </c>
      <c r="H406" s="2" t="str">
        <f t="shared" si="2"/>
        <v/>
      </c>
    </row>
    <row r="407" outlineLevel="1">
      <c r="A407" s="2"/>
      <c r="C407" s="2"/>
      <c r="G407" s="1" t="str">
        <f t="shared" si="1"/>
        <v/>
      </c>
      <c r="H407" s="2" t="str">
        <f t="shared" si="2"/>
        <v/>
      </c>
    </row>
    <row r="408" outlineLevel="1">
      <c r="A408" s="2"/>
      <c r="C408" s="2"/>
      <c r="G408" s="1" t="str">
        <f t="shared" si="1"/>
        <v/>
      </c>
      <c r="H408" s="2" t="str">
        <f t="shared" si="2"/>
        <v/>
      </c>
    </row>
    <row r="409" outlineLevel="1">
      <c r="A409" s="2"/>
      <c r="C409" s="2"/>
      <c r="G409" s="1" t="str">
        <f t="shared" si="1"/>
        <v/>
      </c>
      <c r="H409" s="2" t="str">
        <f t="shared" si="2"/>
        <v/>
      </c>
    </row>
    <row r="410" outlineLevel="1">
      <c r="A410" s="2"/>
      <c r="C410" s="2"/>
      <c r="G410" s="1" t="str">
        <f t="shared" si="1"/>
        <v/>
      </c>
      <c r="H410" s="2" t="str">
        <f t="shared" si="2"/>
        <v/>
      </c>
    </row>
    <row r="411" outlineLevel="1">
      <c r="A411" s="2"/>
      <c r="C411" s="2"/>
      <c r="G411" s="1" t="str">
        <f t="shared" si="1"/>
        <v/>
      </c>
      <c r="H411" s="2" t="str">
        <f t="shared" si="2"/>
        <v/>
      </c>
    </row>
    <row r="412" outlineLevel="1">
      <c r="A412" s="2"/>
      <c r="C412" s="2"/>
      <c r="G412" s="1" t="str">
        <f t="shared" si="1"/>
        <v/>
      </c>
      <c r="H412" s="2" t="str">
        <f t="shared" si="2"/>
        <v/>
      </c>
    </row>
    <row r="413" outlineLevel="1">
      <c r="A413" s="2"/>
      <c r="C413" s="2"/>
      <c r="G413" s="1" t="str">
        <f t="shared" si="1"/>
        <v/>
      </c>
      <c r="H413" s="2" t="str">
        <f t="shared" si="2"/>
        <v/>
      </c>
    </row>
    <row r="414" outlineLevel="1">
      <c r="A414" s="2"/>
      <c r="C414" s="2"/>
      <c r="G414" s="1" t="str">
        <f t="shared" si="1"/>
        <v/>
      </c>
      <c r="H414" s="2" t="str">
        <f t="shared" si="2"/>
        <v/>
      </c>
    </row>
    <row r="415" outlineLevel="1">
      <c r="A415" s="2"/>
      <c r="C415" s="2"/>
      <c r="G415" s="1" t="str">
        <f t="shared" si="1"/>
        <v/>
      </c>
      <c r="H415" s="2" t="str">
        <f t="shared" si="2"/>
        <v/>
      </c>
    </row>
    <row r="416" outlineLevel="1">
      <c r="A416" s="2"/>
      <c r="C416" s="2"/>
      <c r="G416" s="1" t="str">
        <f t="shared" si="1"/>
        <v/>
      </c>
      <c r="H416" s="2" t="str">
        <f t="shared" si="2"/>
        <v/>
      </c>
    </row>
    <row r="417" outlineLevel="1">
      <c r="A417" s="2"/>
      <c r="C417" s="2"/>
      <c r="G417" s="1" t="str">
        <f t="shared" si="1"/>
        <v/>
      </c>
      <c r="H417" s="2" t="str">
        <f t="shared" si="2"/>
        <v/>
      </c>
    </row>
    <row r="418" outlineLevel="1">
      <c r="A418" s="2"/>
      <c r="C418" s="2"/>
      <c r="G418" s="1" t="str">
        <f t="shared" si="1"/>
        <v/>
      </c>
      <c r="H418" s="2" t="str">
        <f t="shared" si="2"/>
        <v/>
      </c>
    </row>
    <row r="419" outlineLevel="1">
      <c r="A419" s="2"/>
      <c r="C419" s="2"/>
      <c r="G419" s="1" t="str">
        <f t="shared" si="1"/>
        <v/>
      </c>
      <c r="H419" s="2" t="str">
        <f t="shared" si="2"/>
        <v/>
      </c>
    </row>
    <row r="420" outlineLevel="1">
      <c r="A420" s="2"/>
      <c r="C420" s="2"/>
      <c r="G420" s="1" t="str">
        <f t="shared" si="1"/>
        <v/>
      </c>
      <c r="H420" s="2" t="str">
        <f t="shared" si="2"/>
        <v/>
      </c>
    </row>
    <row r="421" outlineLevel="1">
      <c r="A421" s="2"/>
      <c r="C421" s="2"/>
      <c r="G421" s="1" t="str">
        <f t="shared" si="1"/>
        <v/>
      </c>
      <c r="H421" s="2" t="str">
        <f t="shared" si="2"/>
        <v/>
      </c>
    </row>
    <row r="422" outlineLevel="1">
      <c r="A422" s="2"/>
      <c r="C422" s="2"/>
      <c r="G422" s="1" t="str">
        <f t="shared" si="1"/>
        <v/>
      </c>
      <c r="H422" s="2" t="str">
        <f t="shared" si="2"/>
        <v/>
      </c>
    </row>
    <row r="423" outlineLevel="1">
      <c r="A423" s="2"/>
      <c r="C423" s="2"/>
      <c r="G423" s="1" t="str">
        <f t="shared" si="1"/>
        <v/>
      </c>
      <c r="H423" s="2" t="str">
        <f t="shared" si="2"/>
        <v/>
      </c>
    </row>
    <row r="424" outlineLevel="1">
      <c r="A424" s="2"/>
      <c r="C424" s="2"/>
      <c r="G424" s="1" t="str">
        <f t="shared" si="1"/>
        <v/>
      </c>
      <c r="H424" s="2" t="str">
        <f t="shared" si="2"/>
        <v/>
      </c>
    </row>
    <row r="425" outlineLevel="1">
      <c r="A425" s="2"/>
      <c r="C425" s="2"/>
      <c r="G425" s="1" t="str">
        <f t="shared" si="1"/>
        <v/>
      </c>
      <c r="H425" s="2" t="str">
        <f t="shared" si="2"/>
        <v/>
      </c>
    </row>
    <row r="426" outlineLevel="1">
      <c r="A426" s="2"/>
      <c r="C426" s="2"/>
      <c r="G426" s="1" t="str">
        <f t="shared" si="1"/>
        <v/>
      </c>
      <c r="H426" s="2" t="str">
        <f t="shared" si="2"/>
        <v/>
      </c>
    </row>
    <row r="427" outlineLevel="1">
      <c r="A427" s="2"/>
      <c r="C427" s="2"/>
      <c r="G427" s="1" t="str">
        <f t="shared" si="1"/>
        <v/>
      </c>
      <c r="H427" s="2" t="str">
        <f t="shared" si="2"/>
        <v/>
      </c>
    </row>
    <row r="428" outlineLevel="1">
      <c r="A428" s="2"/>
      <c r="C428" s="2"/>
      <c r="G428" s="1" t="str">
        <f t="shared" si="1"/>
        <v/>
      </c>
      <c r="H428" s="2" t="str">
        <f t="shared" si="2"/>
        <v/>
      </c>
    </row>
    <row r="429" outlineLevel="1">
      <c r="A429" s="2"/>
      <c r="C429" s="2"/>
      <c r="G429" s="1" t="str">
        <f t="shared" si="1"/>
        <v/>
      </c>
      <c r="H429" s="2" t="str">
        <f t="shared" si="2"/>
        <v/>
      </c>
    </row>
    <row r="430" outlineLevel="1">
      <c r="A430" s="2"/>
      <c r="C430" s="2"/>
      <c r="G430" s="1" t="str">
        <f t="shared" si="1"/>
        <v/>
      </c>
      <c r="H430" s="2" t="str">
        <f t="shared" si="2"/>
        <v/>
      </c>
    </row>
    <row r="431" outlineLevel="1">
      <c r="A431" s="2"/>
      <c r="C431" s="2"/>
      <c r="G431" s="1" t="str">
        <f t="shared" si="1"/>
        <v/>
      </c>
      <c r="H431" s="2" t="str">
        <f t="shared" si="2"/>
        <v/>
      </c>
    </row>
    <row r="432" outlineLevel="1">
      <c r="A432" s="2"/>
      <c r="C432" s="2"/>
      <c r="G432" s="1" t="str">
        <f t="shared" si="1"/>
        <v/>
      </c>
      <c r="H432" s="2" t="str">
        <f t="shared" si="2"/>
        <v/>
      </c>
    </row>
    <row r="433" outlineLevel="1">
      <c r="A433" s="2"/>
      <c r="C433" s="2"/>
      <c r="G433" s="1" t="str">
        <f t="shared" si="1"/>
        <v/>
      </c>
      <c r="H433" s="2" t="str">
        <f t="shared" si="2"/>
        <v/>
      </c>
    </row>
    <row r="434" outlineLevel="1">
      <c r="A434" s="2"/>
      <c r="C434" s="2"/>
      <c r="G434" s="1" t="str">
        <f t="shared" si="1"/>
        <v/>
      </c>
      <c r="H434" s="2" t="str">
        <f t="shared" si="2"/>
        <v/>
      </c>
    </row>
    <row r="435" outlineLevel="1">
      <c r="A435" s="2"/>
      <c r="C435" s="2"/>
      <c r="G435" s="1" t="str">
        <f t="shared" si="1"/>
        <v/>
      </c>
      <c r="H435" s="2" t="str">
        <f t="shared" si="2"/>
        <v/>
      </c>
    </row>
    <row r="436" outlineLevel="1">
      <c r="A436" s="2"/>
      <c r="C436" s="2"/>
      <c r="G436" s="1" t="str">
        <f t="shared" si="1"/>
        <v/>
      </c>
      <c r="H436" s="2" t="str">
        <f t="shared" si="2"/>
        <v/>
      </c>
    </row>
    <row r="437" outlineLevel="1">
      <c r="A437" s="2"/>
      <c r="C437" s="2"/>
      <c r="G437" s="1" t="str">
        <f t="shared" si="1"/>
        <v/>
      </c>
      <c r="H437" s="2" t="str">
        <f t="shared" si="2"/>
        <v/>
      </c>
    </row>
    <row r="438" outlineLevel="1">
      <c r="A438" s="2"/>
      <c r="C438" s="2"/>
      <c r="G438" s="1" t="str">
        <f t="shared" si="1"/>
        <v/>
      </c>
      <c r="H438" s="2" t="str">
        <f t="shared" si="2"/>
        <v/>
      </c>
    </row>
    <row r="439" outlineLevel="1">
      <c r="A439" s="2"/>
      <c r="C439" s="2"/>
      <c r="G439" s="1" t="str">
        <f t="shared" si="1"/>
        <v/>
      </c>
      <c r="H439" s="2" t="str">
        <f t="shared" si="2"/>
        <v/>
      </c>
    </row>
    <row r="440" outlineLevel="1">
      <c r="A440" s="2"/>
      <c r="C440" s="2"/>
      <c r="G440" s="1" t="str">
        <f t="shared" si="1"/>
        <v/>
      </c>
      <c r="H440" s="2" t="str">
        <f t="shared" si="2"/>
        <v/>
      </c>
    </row>
    <row r="441" outlineLevel="1">
      <c r="A441" s="2"/>
      <c r="C441" s="2"/>
      <c r="G441" s="1" t="str">
        <f t="shared" si="1"/>
        <v/>
      </c>
      <c r="H441" s="2" t="str">
        <f t="shared" si="2"/>
        <v/>
      </c>
    </row>
    <row r="442" outlineLevel="1">
      <c r="A442" s="2"/>
      <c r="C442" s="2"/>
      <c r="G442" s="1" t="str">
        <f t="shared" si="1"/>
        <v/>
      </c>
      <c r="H442" s="2" t="str">
        <f t="shared" si="2"/>
        <v/>
      </c>
    </row>
    <row r="443" outlineLevel="1">
      <c r="A443" s="2"/>
      <c r="C443" s="2"/>
      <c r="G443" s="1" t="str">
        <f t="shared" si="1"/>
        <v/>
      </c>
      <c r="H443" s="2" t="str">
        <f t="shared" si="2"/>
        <v/>
      </c>
    </row>
    <row r="444" outlineLevel="1">
      <c r="A444" s="2"/>
      <c r="C444" s="2"/>
      <c r="G444" s="1" t="str">
        <f t="shared" si="1"/>
        <v/>
      </c>
      <c r="H444" s="2" t="str">
        <f t="shared" si="2"/>
        <v/>
      </c>
    </row>
    <row r="445" outlineLevel="1">
      <c r="A445" s="2"/>
      <c r="C445" s="2"/>
      <c r="G445" s="1" t="str">
        <f t="shared" si="1"/>
        <v/>
      </c>
      <c r="H445" s="2" t="str">
        <f t="shared" si="2"/>
        <v/>
      </c>
    </row>
    <row r="446" outlineLevel="1">
      <c r="A446" s="2"/>
      <c r="C446" s="2"/>
      <c r="G446" s="1" t="str">
        <f t="shared" si="1"/>
        <v/>
      </c>
      <c r="H446" s="2" t="str">
        <f t="shared" si="2"/>
        <v/>
      </c>
    </row>
    <row r="447" outlineLevel="1">
      <c r="A447" s="2"/>
      <c r="C447" s="2"/>
      <c r="G447" s="1" t="str">
        <f t="shared" si="1"/>
        <v/>
      </c>
      <c r="H447" s="2" t="str">
        <f t="shared" si="2"/>
        <v/>
      </c>
    </row>
    <row r="448" outlineLevel="1">
      <c r="A448" s="2"/>
      <c r="C448" s="2"/>
      <c r="G448" s="1" t="str">
        <f t="shared" si="1"/>
        <v/>
      </c>
      <c r="H448" s="2" t="str">
        <f t="shared" si="2"/>
        <v/>
      </c>
    </row>
    <row r="449" outlineLevel="1">
      <c r="A449" s="2"/>
      <c r="C449" s="2"/>
      <c r="G449" s="1" t="str">
        <f t="shared" si="1"/>
        <v/>
      </c>
      <c r="H449" s="2" t="str">
        <f t="shared" si="2"/>
        <v/>
      </c>
    </row>
    <row r="450" outlineLevel="1">
      <c r="A450" s="2"/>
      <c r="C450" s="2"/>
      <c r="G450" s="1" t="str">
        <f t="shared" si="1"/>
        <v/>
      </c>
      <c r="H450" s="2" t="str">
        <f t="shared" si="2"/>
        <v/>
      </c>
    </row>
    <row r="451" outlineLevel="1">
      <c r="A451" s="2"/>
      <c r="C451" s="2"/>
      <c r="G451" s="1" t="str">
        <f t="shared" si="1"/>
        <v/>
      </c>
      <c r="H451" s="2" t="str">
        <f t="shared" si="2"/>
        <v/>
      </c>
    </row>
    <row r="452" outlineLevel="1">
      <c r="A452" s="2"/>
      <c r="C452" s="2"/>
      <c r="G452" s="1" t="str">
        <f t="shared" si="1"/>
        <v/>
      </c>
      <c r="H452" s="2" t="str">
        <f t="shared" si="2"/>
        <v/>
      </c>
    </row>
    <row r="453" outlineLevel="1">
      <c r="A453" s="2"/>
      <c r="C453" s="2"/>
      <c r="G453" s="1" t="str">
        <f t="shared" si="1"/>
        <v/>
      </c>
      <c r="H453" s="2" t="str">
        <f t="shared" si="2"/>
        <v/>
      </c>
    </row>
    <row r="454" outlineLevel="1">
      <c r="A454" s="2"/>
      <c r="C454" s="2"/>
      <c r="G454" s="1" t="str">
        <f t="shared" si="1"/>
        <v/>
      </c>
      <c r="H454" s="2" t="str">
        <f t="shared" si="2"/>
        <v/>
      </c>
    </row>
    <row r="455" outlineLevel="1">
      <c r="A455" s="2"/>
      <c r="C455" s="2"/>
      <c r="G455" s="1" t="str">
        <f t="shared" si="1"/>
        <v/>
      </c>
      <c r="H455" s="2" t="str">
        <f t="shared" si="2"/>
        <v/>
      </c>
    </row>
    <row r="456" outlineLevel="1">
      <c r="A456" s="2"/>
      <c r="C456" s="2"/>
      <c r="G456" s="1" t="str">
        <f t="shared" si="1"/>
        <v/>
      </c>
      <c r="H456" s="2" t="str">
        <f t="shared" si="2"/>
        <v/>
      </c>
    </row>
    <row r="457" outlineLevel="1">
      <c r="A457" s="2"/>
      <c r="C457" s="2"/>
      <c r="G457" s="1" t="str">
        <f t="shared" si="1"/>
        <v/>
      </c>
      <c r="H457" s="2" t="str">
        <f t="shared" si="2"/>
        <v/>
      </c>
    </row>
    <row r="458" outlineLevel="1">
      <c r="A458" s="2"/>
      <c r="C458" s="2"/>
      <c r="G458" s="1" t="str">
        <f t="shared" si="1"/>
        <v/>
      </c>
      <c r="H458" s="2" t="str">
        <f t="shared" si="2"/>
        <v/>
      </c>
    </row>
    <row r="459" outlineLevel="1">
      <c r="A459" s="2"/>
      <c r="C459" s="2"/>
      <c r="G459" s="1" t="str">
        <f t="shared" si="1"/>
        <v/>
      </c>
      <c r="H459" s="2" t="str">
        <f t="shared" si="2"/>
        <v/>
      </c>
    </row>
    <row r="460" outlineLevel="1">
      <c r="A460" s="2"/>
      <c r="C460" s="2"/>
      <c r="G460" s="1" t="str">
        <f t="shared" si="1"/>
        <v/>
      </c>
      <c r="H460" s="2" t="str">
        <f t="shared" si="2"/>
        <v/>
      </c>
    </row>
    <row r="461" outlineLevel="1">
      <c r="A461" s="2"/>
      <c r="C461" s="2"/>
      <c r="G461" s="1" t="str">
        <f t="shared" si="1"/>
        <v/>
      </c>
      <c r="H461" s="2" t="str">
        <f t="shared" si="2"/>
        <v/>
      </c>
    </row>
    <row r="462" outlineLevel="1">
      <c r="A462" s="2"/>
      <c r="C462" s="2"/>
      <c r="G462" s="1" t="str">
        <f t="shared" si="1"/>
        <v/>
      </c>
      <c r="H462" s="2" t="str">
        <f t="shared" si="2"/>
        <v/>
      </c>
    </row>
    <row r="463" outlineLevel="1">
      <c r="A463" s="2"/>
      <c r="C463" s="2"/>
      <c r="G463" s="1" t="str">
        <f t="shared" si="1"/>
        <v/>
      </c>
      <c r="H463" s="2" t="str">
        <f t="shared" si="2"/>
        <v/>
      </c>
    </row>
    <row r="464" outlineLevel="1">
      <c r="A464" s="2"/>
      <c r="C464" s="2"/>
      <c r="G464" s="1" t="str">
        <f t="shared" si="1"/>
        <v/>
      </c>
      <c r="H464" s="2" t="str">
        <f t="shared" si="2"/>
        <v/>
      </c>
    </row>
    <row r="465" outlineLevel="1">
      <c r="A465" s="2"/>
      <c r="C465" s="2"/>
      <c r="G465" s="1" t="str">
        <f t="shared" si="1"/>
        <v/>
      </c>
      <c r="H465" s="2" t="str">
        <f t="shared" si="2"/>
        <v/>
      </c>
    </row>
    <row r="466" outlineLevel="1">
      <c r="A466" s="2"/>
      <c r="C466" s="2"/>
      <c r="G466" s="1" t="str">
        <f t="shared" si="1"/>
        <v/>
      </c>
      <c r="H466" s="2" t="str">
        <f t="shared" si="2"/>
        <v/>
      </c>
    </row>
    <row r="467" outlineLevel="1">
      <c r="A467" s="2"/>
      <c r="C467" s="2"/>
      <c r="G467" s="1" t="str">
        <f t="shared" si="1"/>
        <v/>
      </c>
      <c r="H467" s="2" t="str">
        <f t="shared" si="2"/>
        <v/>
      </c>
    </row>
    <row r="468" outlineLevel="1">
      <c r="A468" s="2"/>
      <c r="C468" s="2"/>
      <c r="G468" s="1" t="str">
        <f t="shared" si="1"/>
        <v/>
      </c>
      <c r="H468" s="2" t="str">
        <f t="shared" si="2"/>
        <v/>
      </c>
    </row>
    <row r="469" outlineLevel="1">
      <c r="A469" s="2"/>
      <c r="C469" s="2"/>
      <c r="G469" s="1" t="str">
        <f t="shared" si="1"/>
        <v/>
      </c>
      <c r="H469" s="2" t="str">
        <f t="shared" si="2"/>
        <v/>
      </c>
    </row>
    <row r="470" outlineLevel="1">
      <c r="A470" s="2"/>
      <c r="C470" s="2"/>
      <c r="G470" s="1" t="str">
        <f t="shared" si="1"/>
        <v/>
      </c>
      <c r="H470" s="2" t="str">
        <f t="shared" si="2"/>
        <v/>
      </c>
    </row>
    <row r="471" outlineLevel="1">
      <c r="A471" s="2"/>
      <c r="C471" s="2"/>
      <c r="G471" s="1" t="str">
        <f t="shared" si="1"/>
        <v/>
      </c>
      <c r="H471" s="2" t="str">
        <f t="shared" si="2"/>
        <v/>
      </c>
    </row>
    <row r="472" outlineLevel="1">
      <c r="A472" s="2"/>
      <c r="C472" s="2"/>
      <c r="G472" s="1" t="str">
        <f t="shared" si="1"/>
        <v/>
      </c>
      <c r="H472" s="2" t="str">
        <f t="shared" si="2"/>
        <v/>
      </c>
    </row>
    <row r="473" outlineLevel="1">
      <c r="A473" s="2"/>
      <c r="C473" s="2"/>
      <c r="G473" s="1" t="str">
        <f t="shared" si="1"/>
        <v/>
      </c>
      <c r="H473" s="2" t="str">
        <f t="shared" si="2"/>
        <v/>
      </c>
    </row>
    <row r="474" outlineLevel="1">
      <c r="A474" s="2"/>
      <c r="C474" s="2"/>
      <c r="G474" s="1" t="str">
        <f t="shared" si="1"/>
        <v/>
      </c>
      <c r="H474" s="2" t="str">
        <f t="shared" si="2"/>
        <v/>
      </c>
    </row>
    <row r="475" outlineLevel="1">
      <c r="A475" s="2"/>
      <c r="C475" s="2"/>
      <c r="G475" s="1" t="str">
        <f t="shared" si="1"/>
        <v/>
      </c>
      <c r="H475" s="2" t="str">
        <f t="shared" si="2"/>
        <v/>
      </c>
    </row>
    <row r="476" outlineLevel="1">
      <c r="A476" s="2"/>
      <c r="C476" s="2"/>
      <c r="G476" s="1" t="str">
        <f t="shared" si="1"/>
        <v/>
      </c>
      <c r="H476" s="2" t="str">
        <f t="shared" si="2"/>
        <v/>
      </c>
    </row>
    <row r="477" outlineLevel="1">
      <c r="A477" s="2"/>
      <c r="C477" s="2"/>
      <c r="G477" s="1" t="str">
        <f t="shared" si="1"/>
        <v/>
      </c>
      <c r="H477" s="2" t="str">
        <f t="shared" si="2"/>
        <v/>
      </c>
    </row>
    <row r="478" outlineLevel="1">
      <c r="A478" s="2"/>
      <c r="C478" s="2"/>
      <c r="G478" s="1" t="str">
        <f t="shared" si="1"/>
        <v/>
      </c>
      <c r="H478" s="2" t="str">
        <f t="shared" si="2"/>
        <v/>
      </c>
    </row>
    <row r="479" outlineLevel="1">
      <c r="A479" s="2"/>
      <c r="C479" s="2"/>
      <c r="G479" s="1" t="str">
        <f t="shared" si="1"/>
        <v/>
      </c>
      <c r="H479" s="2" t="str">
        <f t="shared" si="2"/>
        <v/>
      </c>
    </row>
    <row r="480" outlineLevel="1">
      <c r="A480" s="2"/>
      <c r="C480" s="2"/>
      <c r="G480" s="1" t="str">
        <f t="shared" si="1"/>
        <v/>
      </c>
      <c r="H480" s="2" t="str">
        <f t="shared" si="2"/>
        <v/>
      </c>
    </row>
    <row r="481" outlineLevel="1">
      <c r="A481" s="2"/>
      <c r="C481" s="2"/>
      <c r="G481" s="1" t="str">
        <f t="shared" si="1"/>
        <v/>
      </c>
      <c r="H481" s="2" t="str">
        <f t="shared" si="2"/>
        <v/>
      </c>
    </row>
    <row r="482" outlineLevel="1">
      <c r="A482" s="2"/>
      <c r="C482" s="2"/>
      <c r="G482" s="1" t="str">
        <f t="shared" si="1"/>
        <v/>
      </c>
      <c r="H482" s="2" t="str">
        <f t="shared" si="2"/>
        <v/>
      </c>
    </row>
    <row r="483" outlineLevel="1">
      <c r="A483" s="2"/>
      <c r="C483" s="2"/>
      <c r="G483" s="1" t="str">
        <f t="shared" si="1"/>
        <v/>
      </c>
      <c r="H483" s="2" t="str">
        <f t="shared" si="2"/>
        <v/>
      </c>
    </row>
    <row r="484" outlineLevel="1">
      <c r="A484" s="2"/>
      <c r="C484" s="2"/>
      <c r="G484" s="1" t="str">
        <f t="shared" si="1"/>
        <v/>
      </c>
      <c r="H484" s="2" t="str">
        <f t="shared" si="2"/>
        <v/>
      </c>
    </row>
    <row r="485" outlineLevel="1">
      <c r="A485" s="2"/>
      <c r="C485" s="2"/>
      <c r="G485" s="1" t="str">
        <f t="shared" si="1"/>
        <v/>
      </c>
      <c r="H485" s="2" t="str">
        <f t="shared" si="2"/>
        <v/>
      </c>
    </row>
    <row r="486" outlineLevel="1">
      <c r="A486" s="2"/>
      <c r="C486" s="2"/>
      <c r="G486" s="1" t="str">
        <f t="shared" si="1"/>
        <v/>
      </c>
      <c r="H486" s="2" t="str">
        <f t="shared" si="2"/>
        <v/>
      </c>
    </row>
    <row r="487" outlineLevel="1">
      <c r="A487" s="2"/>
      <c r="C487" s="2"/>
      <c r="G487" s="1" t="str">
        <f t="shared" si="1"/>
        <v/>
      </c>
      <c r="H487" s="2" t="str">
        <f t="shared" si="2"/>
        <v/>
      </c>
    </row>
    <row r="488" outlineLevel="1">
      <c r="A488" s="2"/>
      <c r="C488" s="2"/>
      <c r="G488" s="1" t="str">
        <f t="shared" si="1"/>
        <v/>
      </c>
      <c r="H488" s="2" t="str">
        <f t="shared" si="2"/>
        <v/>
      </c>
    </row>
    <row r="489" outlineLevel="1">
      <c r="A489" s="2"/>
      <c r="C489" s="2"/>
      <c r="G489" s="1" t="str">
        <f t="shared" si="1"/>
        <v/>
      </c>
      <c r="H489" s="2" t="str">
        <f t="shared" si="2"/>
        <v/>
      </c>
    </row>
    <row r="490" outlineLevel="1">
      <c r="A490" s="2"/>
      <c r="C490" s="2"/>
      <c r="G490" s="1" t="str">
        <f t="shared" si="1"/>
        <v/>
      </c>
      <c r="H490" s="2" t="str">
        <f t="shared" si="2"/>
        <v/>
      </c>
    </row>
    <row r="491" outlineLevel="1">
      <c r="A491" s="2"/>
      <c r="C491" s="2"/>
      <c r="G491" s="1" t="str">
        <f t="shared" si="1"/>
        <v/>
      </c>
      <c r="H491" s="2" t="str">
        <f t="shared" si="2"/>
        <v/>
      </c>
    </row>
    <row r="492" outlineLevel="1">
      <c r="A492" s="2"/>
      <c r="C492" s="2"/>
      <c r="G492" s="1" t="str">
        <f t="shared" si="1"/>
        <v/>
      </c>
      <c r="H492" s="2" t="str">
        <f t="shared" si="2"/>
        <v/>
      </c>
    </row>
    <row r="493" outlineLevel="1">
      <c r="A493" s="2"/>
      <c r="C493" s="2"/>
      <c r="G493" s="1" t="str">
        <f t="shared" si="1"/>
        <v/>
      </c>
      <c r="H493" s="2" t="str">
        <f t="shared" si="2"/>
        <v/>
      </c>
    </row>
    <row r="494" outlineLevel="1">
      <c r="A494" s="2"/>
      <c r="C494" s="2"/>
      <c r="G494" s="1" t="str">
        <f t="shared" si="1"/>
        <v/>
      </c>
      <c r="H494" s="2" t="str">
        <f t="shared" si="2"/>
        <v/>
      </c>
    </row>
    <row r="495" outlineLevel="1">
      <c r="A495" s="2"/>
      <c r="C495" s="2"/>
      <c r="G495" s="1" t="str">
        <f t="shared" si="1"/>
        <v/>
      </c>
      <c r="H495" s="2" t="str">
        <f t="shared" si="2"/>
        <v/>
      </c>
    </row>
    <row r="496" outlineLevel="1">
      <c r="A496" s="2"/>
      <c r="C496" s="2"/>
      <c r="G496" s="1" t="str">
        <f t="shared" si="1"/>
        <v/>
      </c>
      <c r="H496" s="2" t="str">
        <f t="shared" si="2"/>
        <v/>
      </c>
    </row>
    <row r="497" outlineLevel="1">
      <c r="A497" s="2"/>
      <c r="C497" s="2"/>
      <c r="G497" s="1" t="str">
        <f t="shared" si="1"/>
        <v/>
      </c>
      <c r="H497" s="2" t="str">
        <f t="shared" si="2"/>
        <v/>
      </c>
    </row>
    <row r="498" outlineLevel="1">
      <c r="A498" s="2"/>
      <c r="C498" s="2"/>
      <c r="G498" s="1" t="str">
        <f t="shared" si="1"/>
        <v/>
      </c>
      <c r="H498" s="2" t="str">
        <f t="shared" si="2"/>
        <v/>
      </c>
    </row>
    <row r="499" outlineLevel="1">
      <c r="A499" s="2"/>
      <c r="C499" s="2"/>
      <c r="G499" s="1" t="str">
        <f t="shared" si="1"/>
        <v/>
      </c>
      <c r="H499" s="2" t="str">
        <f t="shared" si="2"/>
        <v/>
      </c>
    </row>
    <row r="500" outlineLevel="1">
      <c r="A500" s="2"/>
      <c r="C500" s="2"/>
      <c r="G500" s="1" t="str">
        <f t="shared" si="1"/>
        <v/>
      </c>
      <c r="H500" s="2" t="str">
        <f t="shared" si="2"/>
        <v/>
      </c>
    </row>
    <row r="501" outlineLevel="1">
      <c r="A501" s="2"/>
      <c r="C501" s="2"/>
      <c r="G501" s="1" t="str">
        <f t="shared" si="1"/>
        <v/>
      </c>
      <c r="H501" s="2" t="str">
        <f t="shared" si="2"/>
        <v/>
      </c>
    </row>
    <row r="502" outlineLevel="1">
      <c r="A502" s="2"/>
      <c r="C502" s="2"/>
      <c r="G502" s="1" t="str">
        <f t="shared" si="1"/>
        <v/>
      </c>
      <c r="H502" s="2" t="str">
        <f t="shared" si="2"/>
        <v/>
      </c>
    </row>
    <row r="503" outlineLevel="1">
      <c r="A503" s="2"/>
      <c r="C503" s="2"/>
      <c r="G503" s="1" t="str">
        <f t="shared" si="1"/>
        <v/>
      </c>
      <c r="H503" s="2" t="str">
        <f t="shared" si="2"/>
        <v/>
      </c>
    </row>
    <row r="504" outlineLevel="1">
      <c r="A504" s="2"/>
      <c r="C504" s="2"/>
      <c r="G504" s="1" t="str">
        <f t="shared" si="1"/>
        <v/>
      </c>
      <c r="H504" s="2" t="str">
        <f t="shared" si="2"/>
        <v/>
      </c>
    </row>
    <row r="505" outlineLevel="1">
      <c r="A505" s="2"/>
      <c r="C505" s="2"/>
      <c r="G505" s="1" t="str">
        <f t="shared" si="1"/>
        <v/>
      </c>
      <c r="H505" s="2" t="str">
        <f t="shared" si="2"/>
        <v/>
      </c>
    </row>
    <row r="506" outlineLevel="1">
      <c r="A506" s="2"/>
      <c r="C506" s="2"/>
      <c r="G506" s="1" t="str">
        <f t="shared" si="1"/>
        <v/>
      </c>
      <c r="H506" s="2" t="str">
        <f t="shared" si="2"/>
        <v/>
      </c>
    </row>
    <row r="507" outlineLevel="1">
      <c r="A507" s="2"/>
      <c r="C507" s="2"/>
      <c r="G507" s="1" t="str">
        <f t="shared" si="1"/>
        <v/>
      </c>
      <c r="H507" s="2" t="str">
        <f t="shared" si="2"/>
        <v/>
      </c>
    </row>
    <row r="508" outlineLevel="1">
      <c r="A508" s="2"/>
      <c r="C508" s="2"/>
      <c r="G508" s="1" t="str">
        <f t="shared" si="1"/>
        <v/>
      </c>
      <c r="H508" s="2" t="str">
        <f t="shared" si="2"/>
        <v/>
      </c>
    </row>
    <row r="509" outlineLevel="1">
      <c r="A509" s="2"/>
      <c r="C509" s="2"/>
      <c r="G509" s="1" t="str">
        <f t="shared" si="1"/>
        <v/>
      </c>
      <c r="H509" s="2" t="str">
        <f t="shared" si="2"/>
        <v/>
      </c>
    </row>
    <row r="510" outlineLevel="1">
      <c r="A510" s="2"/>
      <c r="C510" s="2"/>
      <c r="G510" s="1" t="str">
        <f t="shared" si="1"/>
        <v/>
      </c>
      <c r="H510" s="2" t="str">
        <f t="shared" si="2"/>
        <v/>
      </c>
    </row>
    <row r="511" outlineLevel="1">
      <c r="A511" s="2"/>
      <c r="C511" s="2"/>
      <c r="G511" s="1" t="str">
        <f t="shared" si="1"/>
        <v/>
      </c>
      <c r="H511" s="2" t="str">
        <f t="shared" si="2"/>
        <v/>
      </c>
    </row>
    <row r="512" outlineLevel="1">
      <c r="A512" s="2"/>
      <c r="C512" s="2"/>
      <c r="G512" s="1" t="str">
        <f t="shared" si="1"/>
        <v/>
      </c>
      <c r="H512" s="2" t="str">
        <f t="shared" si="2"/>
        <v/>
      </c>
    </row>
    <row r="513" outlineLevel="1">
      <c r="A513" s="2"/>
      <c r="C513" s="2"/>
      <c r="G513" s="1" t="str">
        <f t="shared" si="1"/>
        <v/>
      </c>
      <c r="H513" s="2" t="str">
        <f t="shared" si="2"/>
        <v/>
      </c>
    </row>
    <row r="514" outlineLevel="1">
      <c r="A514" s="2"/>
      <c r="C514" s="2"/>
      <c r="G514" s="1" t="str">
        <f t="shared" si="1"/>
        <v/>
      </c>
      <c r="H514" s="2" t="str">
        <f t="shared" si="2"/>
        <v/>
      </c>
    </row>
    <row r="515" outlineLevel="1">
      <c r="A515" s="2"/>
      <c r="C515" s="2"/>
      <c r="G515" s="1" t="str">
        <f t="shared" si="1"/>
        <v/>
      </c>
      <c r="H515" s="2" t="str">
        <f t="shared" si="2"/>
        <v/>
      </c>
    </row>
    <row r="516" outlineLevel="1">
      <c r="A516" s="2"/>
      <c r="C516" s="2"/>
      <c r="G516" s="1" t="str">
        <f t="shared" si="1"/>
        <v/>
      </c>
      <c r="H516" s="2" t="str">
        <f t="shared" si="2"/>
        <v/>
      </c>
    </row>
    <row r="517" outlineLevel="1">
      <c r="A517" s="2"/>
      <c r="C517" s="2"/>
      <c r="G517" s="1" t="str">
        <f t="shared" si="1"/>
        <v/>
      </c>
      <c r="H517" s="2" t="str">
        <f t="shared" si="2"/>
        <v/>
      </c>
    </row>
    <row r="518" outlineLevel="1">
      <c r="A518" s="2"/>
      <c r="C518" s="2"/>
      <c r="G518" s="1" t="str">
        <f t="shared" si="1"/>
        <v/>
      </c>
      <c r="H518" s="2" t="str">
        <f t="shared" si="2"/>
        <v/>
      </c>
    </row>
    <row r="519" outlineLevel="1">
      <c r="A519" s="2"/>
      <c r="C519" s="2"/>
      <c r="G519" s="1" t="str">
        <f t="shared" si="1"/>
        <v/>
      </c>
      <c r="H519" s="2" t="str">
        <f t="shared" si="2"/>
        <v/>
      </c>
    </row>
    <row r="520" outlineLevel="1">
      <c r="A520" s="2"/>
      <c r="C520" s="2"/>
      <c r="G520" s="1" t="str">
        <f t="shared" si="1"/>
        <v/>
      </c>
      <c r="H520" s="2" t="str">
        <f t="shared" si="2"/>
        <v/>
      </c>
    </row>
    <row r="521" outlineLevel="1">
      <c r="A521" s="2"/>
      <c r="C521" s="2"/>
      <c r="G521" s="1" t="str">
        <f t="shared" si="1"/>
        <v/>
      </c>
      <c r="H521" s="2" t="str">
        <f t="shared" si="2"/>
        <v/>
      </c>
    </row>
    <row r="522" outlineLevel="1">
      <c r="A522" s="2"/>
      <c r="C522" s="2"/>
      <c r="G522" s="1" t="str">
        <f t="shared" si="1"/>
        <v/>
      </c>
      <c r="H522" s="2" t="str">
        <f t="shared" si="2"/>
        <v/>
      </c>
    </row>
    <row r="523" outlineLevel="1">
      <c r="A523" s="2"/>
      <c r="C523" s="2"/>
      <c r="G523" s="1" t="str">
        <f t="shared" si="1"/>
        <v/>
      </c>
      <c r="H523" s="2" t="str">
        <f t="shared" si="2"/>
        <v/>
      </c>
    </row>
    <row r="524" outlineLevel="1">
      <c r="A524" s="2"/>
      <c r="C524" s="2"/>
      <c r="G524" s="1" t="str">
        <f t="shared" si="1"/>
        <v/>
      </c>
      <c r="H524" s="2" t="str">
        <f t="shared" si="2"/>
        <v/>
      </c>
    </row>
    <row r="525" outlineLevel="1">
      <c r="A525" s="2"/>
      <c r="C525" s="2"/>
      <c r="G525" s="1" t="str">
        <f t="shared" si="1"/>
        <v/>
      </c>
      <c r="H525" s="2" t="str">
        <f t="shared" si="2"/>
        <v/>
      </c>
    </row>
    <row r="526" outlineLevel="1">
      <c r="A526" s="2"/>
      <c r="C526" s="2"/>
      <c r="G526" s="1" t="str">
        <f t="shared" si="1"/>
        <v/>
      </c>
      <c r="H526" s="2" t="str">
        <f t="shared" si="2"/>
        <v/>
      </c>
    </row>
    <row r="527" outlineLevel="1">
      <c r="A527" s="2"/>
      <c r="C527" s="2"/>
      <c r="G527" s="1" t="str">
        <f t="shared" si="1"/>
        <v/>
      </c>
      <c r="H527" s="2" t="str">
        <f t="shared" si="2"/>
        <v/>
      </c>
    </row>
    <row r="528" outlineLevel="1">
      <c r="A528" s="2"/>
      <c r="C528" s="2"/>
      <c r="G528" s="1" t="str">
        <f t="shared" si="1"/>
        <v/>
      </c>
      <c r="H528" s="2" t="str">
        <f t="shared" si="2"/>
        <v/>
      </c>
    </row>
    <row r="529" outlineLevel="1">
      <c r="A529" s="2"/>
      <c r="C529" s="2"/>
      <c r="G529" s="1" t="str">
        <f t="shared" si="1"/>
        <v/>
      </c>
      <c r="H529" s="2" t="str">
        <f t="shared" si="2"/>
        <v/>
      </c>
    </row>
    <row r="530" outlineLevel="1">
      <c r="A530" s="2"/>
      <c r="C530" s="2"/>
      <c r="G530" s="1" t="str">
        <f t="shared" si="1"/>
        <v/>
      </c>
      <c r="H530" s="2" t="str">
        <f t="shared" si="2"/>
        <v/>
      </c>
    </row>
    <row r="531" outlineLevel="1">
      <c r="A531" s="2"/>
      <c r="C531" s="2"/>
      <c r="G531" s="1" t="str">
        <f t="shared" si="1"/>
        <v/>
      </c>
      <c r="H531" s="2" t="str">
        <f t="shared" si="2"/>
        <v/>
      </c>
    </row>
    <row r="532" outlineLevel="1">
      <c r="A532" s="2"/>
      <c r="C532" s="2"/>
      <c r="G532" s="1" t="str">
        <f t="shared" si="1"/>
        <v/>
      </c>
      <c r="H532" s="2" t="str">
        <f t="shared" si="2"/>
        <v/>
      </c>
    </row>
    <row r="533" outlineLevel="1">
      <c r="A533" s="2"/>
      <c r="C533" s="2"/>
      <c r="G533" s="1" t="str">
        <f t="shared" si="1"/>
        <v/>
      </c>
      <c r="H533" s="2" t="str">
        <f t="shared" si="2"/>
        <v/>
      </c>
    </row>
    <row r="534" outlineLevel="1">
      <c r="A534" s="2"/>
      <c r="C534" s="2"/>
      <c r="G534" s="1" t="str">
        <f t="shared" si="1"/>
        <v/>
      </c>
      <c r="H534" s="2" t="str">
        <f t="shared" si="2"/>
        <v/>
      </c>
    </row>
    <row r="535" outlineLevel="1">
      <c r="A535" s="2"/>
      <c r="C535" s="2"/>
      <c r="G535" s="1" t="str">
        <f t="shared" si="1"/>
        <v/>
      </c>
      <c r="H535" s="2" t="str">
        <f t="shared" si="2"/>
        <v/>
      </c>
    </row>
    <row r="536" outlineLevel="1">
      <c r="A536" s="2"/>
      <c r="C536" s="2"/>
      <c r="G536" s="1" t="str">
        <f t="shared" si="1"/>
        <v/>
      </c>
      <c r="H536" s="2" t="str">
        <f t="shared" si="2"/>
        <v/>
      </c>
    </row>
    <row r="537" outlineLevel="1">
      <c r="A537" s="2"/>
      <c r="C537" s="2"/>
      <c r="G537" s="1" t="str">
        <f t="shared" si="1"/>
        <v/>
      </c>
      <c r="H537" s="2" t="str">
        <f t="shared" si="2"/>
        <v/>
      </c>
    </row>
    <row r="538" outlineLevel="1">
      <c r="A538" s="2"/>
      <c r="C538" s="2"/>
      <c r="G538" s="1" t="str">
        <f t="shared" si="1"/>
        <v/>
      </c>
      <c r="H538" s="2" t="str">
        <f t="shared" si="2"/>
        <v/>
      </c>
    </row>
    <row r="539" outlineLevel="1">
      <c r="A539" s="2"/>
      <c r="C539" s="2"/>
      <c r="G539" s="1" t="str">
        <f t="shared" si="1"/>
        <v/>
      </c>
      <c r="H539" s="2" t="str">
        <f t="shared" si="2"/>
        <v/>
      </c>
    </row>
    <row r="540" outlineLevel="1">
      <c r="A540" s="2"/>
      <c r="C540" s="2"/>
      <c r="G540" s="1" t="str">
        <f t="shared" si="1"/>
        <v/>
      </c>
      <c r="H540" s="2" t="str">
        <f t="shared" si="2"/>
        <v/>
      </c>
    </row>
    <row r="541" outlineLevel="1">
      <c r="A541" s="2"/>
      <c r="C541" s="2"/>
      <c r="G541" s="1" t="str">
        <f t="shared" si="1"/>
        <v/>
      </c>
      <c r="H541" s="2" t="str">
        <f t="shared" si="2"/>
        <v/>
      </c>
    </row>
    <row r="542" outlineLevel="1">
      <c r="A542" s="2"/>
      <c r="C542" s="2"/>
      <c r="G542" s="1" t="str">
        <f t="shared" si="1"/>
        <v/>
      </c>
      <c r="H542" s="2" t="str">
        <f t="shared" si="2"/>
        <v/>
      </c>
    </row>
    <row r="543" outlineLevel="1">
      <c r="A543" s="2"/>
      <c r="C543" s="2"/>
      <c r="G543" s="1" t="str">
        <f t="shared" si="1"/>
        <v/>
      </c>
      <c r="H543" s="2" t="str">
        <f t="shared" si="2"/>
        <v/>
      </c>
    </row>
    <row r="544" outlineLevel="1">
      <c r="A544" s="2"/>
      <c r="C544" s="2"/>
      <c r="G544" s="1" t="str">
        <f t="shared" si="1"/>
        <v/>
      </c>
      <c r="H544" s="2" t="str">
        <f t="shared" si="2"/>
        <v/>
      </c>
    </row>
    <row r="545" outlineLevel="1">
      <c r="A545" s="2"/>
      <c r="C545" s="2"/>
      <c r="G545" s="1" t="str">
        <f t="shared" si="1"/>
        <v/>
      </c>
      <c r="H545" s="2" t="str">
        <f t="shared" si="2"/>
        <v/>
      </c>
    </row>
    <row r="546" outlineLevel="1">
      <c r="A546" s="2"/>
      <c r="C546" s="2"/>
      <c r="G546" s="1" t="str">
        <f t="shared" si="1"/>
        <v/>
      </c>
      <c r="H546" s="2" t="str">
        <f t="shared" si="2"/>
        <v/>
      </c>
    </row>
    <row r="547" outlineLevel="1">
      <c r="A547" s="2"/>
      <c r="C547" s="2"/>
      <c r="G547" s="1" t="str">
        <f t="shared" si="1"/>
        <v/>
      </c>
      <c r="H547" s="2" t="str">
        <f t="shared" si="2"/>
        <v/>
      </c>
    </row>
    <row r="548" outlineLevel="1">
      <c r="A548" s="2"/>
      <c r="C548" s="2"/>
      <c r="G548" s="1" t="str">
        <f t="shared" si="1"/>
        <v/>
      </c>
      <c r="H548" s="2" t="str">
        <f t="shared" si="2"/>
        <v/>
      </c>
    </row>
    <row r="549" outlineLevel="1">
      <c r="A549" s="2"/>
      <c r="C549" s="2"/>
      <c r="G549" s="1" t="str">
        <f t="shared" si="1"/>
        <v/>
      </c>
      <c r="H549" s="2" t="str">
        <f t="shared" si="2"/>
        <v/>
      </c>
    </row>
    <row r="550" outlineLevel="1">
      <c r="A550" s="2"/>
      <c r="C550" s="2"/>
      <c r="G550" s="1" t="str">
        <f t="shared" si="1"/>
        <v/>
      </c>
      <c r="H550" s="2" t="str">
        <f t="shared" si="2"/>
        <v/>
      </c>
    </row>
    <row r="551" outlineLevel="1">
      <c r="A551" s="2"/>
      <c r="C551" s="2"/>
      <c r="G551" s="1" t="str">
        <f t="shared" si="1"/>
        <v/>
      </c>
      <c r="H551" s="2" t="str">
        <f t="shared" si="2"/>
        <v/>
      </c>
    </row>
    <row r="552" outlineLevel="1">
      <c r="A552" s="2"/>
      <c r="C552" s="2"/>
      <c r="G552" s="1" t="str">
        <f t="shared" si="1"/>
        <v/>
      </c>
      <c r="H552" s="2" t="str">
        <f t="shared" si="2"/>
        <v/>
      </c>
    </row>
    <row r="553" outlineLevel="1">
      <c r="A553" s="2"/>
      <c r="C553" s="2"/>
      <c r="G553" s="1" t="str">
        <f t="shared" si="1"/>
        <v/>
      </c>
      <c r="H553" s="2" t="str">
        <f t="shared" si="2"/>
        <v/>
      </c>
    </row>
    <row r="554" outlineLevel="1">
      <c r="A554" s="2"/>
      <c r="C554" s="2"/>
      <c r="G554" s="1" t="str">
        <f t="shared" si="1"/>
        <v/>
      </c>
      <c r="H554" s="2" t="str">
        <f t="shared" si="2"/>
        <v/>
      </c>
    </row>
    <row r="555" outlineLevel="1">
      <c r="A555" s="2"/>
      <c r="C555" s="2"/>
      <c r="G555" s="1" t="str">
        <f t="shared" si="1"/>
        <v/>
      </c>
      <c r="H555" s="2" t="str">
        <f t="shared" si="2"/>
        <v/>
      </c>
    </row>
    <row r="556" outlineLevel="1">
      <c r="A556" s="2"/>
      <c r="C556" s="2"/>
      <c r="G556" s="1" t="str">
        <f t="shared" si="1"/>
        <v/>
      </c>
      <c r="H556" s="2" t="str">
        <f t="shared" si="2"/>
        <v/>
      </c>
    </row>
    <row r="557" outlineLevel="1">
      <c r="A557" s="2"/>
      <c r="C557" s="2"/>
      <c r="G557" s="1" t="str">
        <f t="shared" si="1"/>
        <v/>
      </c>
      <c r="H557" s="2" t="str">
        <f t="shared" si="2"/>
        <v/>
      </c>
    </row>
    <row r="558" outlineLevel="1">
      <c r="A558" s="2"/>
      <c r="C558" s="2"/>
      <c r="G558" s="1" t="str">
        <f t="shared" si="1"/>
        <v/>
      </c>
      <c r="H558" s="2" t="str">
        <f t="shared" si="2"/>
        <v/>
      </c>
    </row>
    <row r="559" outlineLevel="1">
      <c r="A559" s="2"/>
      <c r="C559" s="2"/>
      <c r="G559" s="1" t="str">
        <f t="shared" si="1"/>
        <v/>
      </c>
      <c r="H559" s="2" t="str">
        <f t="shared" si="2"/>
        <v/>
      </c>
    </row>
    <row r="560" outlineLevel="1">
      <c r="A560" s="2"/>
      <c r="C560" s="2"/>
      <c r="G560" s="1" t="str">
        <f t="shared" si="1"/>
        <v/>
      </c>
      <c r="H560" s="2" t="str">
        <f t="shared" si="2"/>
        <v/>
      </c>
    </row>
    <row r="561" outlineLevel="1">
      <c r="A561" s="2"/>
      <c r="C561" s="2"/>
      <c r="G561" s="1" t="str">
        <f t="shared" si="1"/>
        <v/>
      </c>
      <c r="H561" s="2" t="str">
        <f t="shared" si="2"/>
        <v/>
      </c>
    </row>
    <row r="562" outlineLevel="1">
      <c r="A562" s="2"/>
      <c r="C562" s="2"/>
      <c r="G562" s="1" t="str">
        <f t="shared" si="1"/>
        <v/>
      </c>
      <c r="H562" s="2" t="str">
        <f t="shared" si="2"/>
        <v/>
      </c>
    </row>
    <row r="563" outlineLevel="1">
      <c r="A563" s="2"/>
      <c r="C563" s="2"/>
      <c r="G563" s="1" t="str">
        <f t="shared" si="1"/>
        <v/>
      </c>
      <c r="H563" s="2" t="str">
        <f t="shared" si="2"/>
        <v/>
      </c>
    </row>
    <row r="564" outlineLevel="1">
      <c r="A564" s="2"/>
      <c r="C564" s="2"/>
      <c r="G564" s="1" t="str">
        <f t="shared" si="1"/>
        <v/>
      </c>
      <c r="H564" s="2" t="str">
        <f t="shared" si="2"/>
        <v/>
      </c>
    </row>
    <row r="565" outlineLevel="1">
      <c r="A565" s="2"/>
      <c r="C565" s="2"/>
      <c r="G565" s="1" t="str">
        <f t="shared" si="1"/>
        <v/>
      </c>
      <c r="H565" s="2" t="str">
        <f t="shared" si="2"/>
        <v/>
      </c>
    </row>
    <row r="566" outlineLevel="1">
      <c r="A566" s="2"/>
      <c r="C566" s="2"/>
      <c r="G566" s="1" t="str">
        <f t="shared" si="1"/>
        <v/>
      </c>
      <c r="H566" s="2" t="str">
        <f t="shared" si="2"/>
        <v/>
      </c>
    </row>
    <row r="567" outlineLevel="1">
      <c r="A567" s="2"/>
      <c r="C567" s="2"/>
      <c r="G567" s="1" t="str">
        <f t="shared" si="1"/>
        <v/>
      </c>
      <c r="H567" s="2" t="str">
        <f t="shared" si="2"/>
        <v/>
      </c>
    </row>
    <row r="568" outlineLevel="1">
      <c r="A568" s="2"/>
      <c r="C568" s="2"/>
      <c r="G568" s="1" t="str">
        <f t="shared" si="1"/>
        <v/>
      </c>
      <c r="H568" s="2" t="str">
        <f t="shared" si="2"/>
        <v/>
      </c>
    </row>
    <row r="569" outlineLevel="1">
      <c r="A569" s="2"/>
      <c r="C569" s="2"/>
      <c r="G569" s="1" t="str">
        <f t="shared" si="1"/>
        <v/>
      </c>
      <c r="H569" s="2" t="str">
        <f t="shared" si="2"/>
        <v/>
      </c>
    </row>
    <row r="570" outlineLevel="1">
      <c r="A570" s="2"/>
      <c r="C570" s="2"/>
      <c r="G570" s="1" t="str">
        <f t="shared" si="1"/>
        <v/>
      </c>
      <c r="H570" s="2" t="str">
        <f t="shared" si="2"/>
        <v/>
      </c>
    </row>
    <row r="571" outlineLevel="1">
      <c r="A571" s="2"/>
      <c r="C571" s="2"/>
      <c r="G571" s="1" t="str">
        <f t="shared" si="1"/>
        <v/>
      </c>
      <c r="H571" s="2" t="str">
        <f t="shared" si="2"/>
        <v/>
      </c>
    </row>
    <row r="572" outlineLevel="1">
      <c r="A572" s="2"/>
      <c r="C572" s="2"/>
      <c r="G572" s="1" t="str">
        <f t="shared" si="1"/>
        <v/>
      </c>
      <c r="H572" s="2" t="str">
        <f t="shared" si="2"/>
        <v/>
      </c>
    </row>
    <row r="573" outlineLevel="1">
      <c r="A573" s="2"/>
      <c r="C573" s="2"/>
      <c r="G573" s="1" t="str">
        <f t="shared" si="1"/>
        <v/>
      </c>
      <c r="H573" s="2" t="str">
        <f t="shared" si="2"/>
        <v/>
      </c>
    </row>
    <row r="574" outlineLevel="1">
      <c r="A574" s="2"/>
      <c r="C574" s="2"/>
      <c r="G574" s="1" t="str">
        <f t="shared" si="1"/>
        <v/>
      </c>
      <c r="H574" s="2" t="str">
        <f t="shared" si="2"/>
        <v/>
      </c>
    </row>
    <row r="575" outlineLevel="1">
      <c r="A575" s="2"/>
      <c r="C575" s="2"/>
      <c r="G575" s="1" t="str">
        <f t="shared" si="1"/>
        <v/>
      </c>
      <c r="H575" s="2" t="str">
        <f t="shared" si="2"/>
        <v/>
      </c>
    </row>
    <row r="576" outlineLevel="1">
      <c r="A576" s="2"/>
      <c r="C576" s="2"/>
      <c r="G576" s="1" t="str">
        <f t="shared" si="1"/>
        <v/>
      </c>
      <c r="H576" s="2" t="str">
        <f t="shared" si="2"/>
        <v/>
      </c>
    </row>
    <row r="577" outlineLevel="1">
      <c r="A577" s="2"/>
      <c r="C577" s="2"/>
      <c r="G577" s="1" t="str">
        <f t="shared" si="1"/>
        <v/>
      </c>
      <c r="H577" s="2" t="str">
        <f t="shared" si="2"/>
        <v/>
      </c>
    </row>
    <row r="578" outlineLevel="1">
      <c r="A578" s="2"/>
      <c r="C578" s="2"/>
      <c r="G578" s="1" t="str">
        <f t="shared" si="1"/>
        <v/>
      </c>
      <c r="H578" s="2" t="str">
        <f t="shared" si="2"/>
        <v/>
      </c>
    </row>
    <row r="579" outlineLevel="1">
      <c r="A579" s="2"/>
      <c r="C579" s="2"/>
      <c r="G579" s="1" t="str">
        <f t="shared" si="1"/>
        <v/>
      </c>
      <c r="H579" s="2" t="str">
        <f t="shared" si="2"/>
        <v/>
      </c>
    </row>
    <row r="580" outlineLevel="1">
      <c r="A580" s="2"/>
      <c r="C580" s="2"/>
      <c r="G580" s="1" t="str">
        <f t="shared" si="1"/>
        <v/>
      </c>
      <c r="H580" s="2" t="str">
        <f t="shared" si="2"/>
        <v/>
      </c>
    </row>
    <row r="581" outlineLevel="1">
      <c r="A581" s="2"/>
      <c r="C581" s="2"/>
      <c r="G581" s="1" t="str">
        <f t="shared" si="1"/>
        <v/>
      </c>
      <c r="H581" s="2" t="str">
        <f t="shared" si="2"/>
        <v/>
      </c>
    </row>
    <row r="582" outlineLevel="1">
      <c r="A582" s="2"/>
      <c r="C582" s="2"/>
      <c r="G582" s="1" t="str">
        <f t="shared" si="1"/>
        <v/>
      </c>
      <c r="H582" s="2" t="str">
        <f t="shared" si="2"/>
        <v/>
      </c>
    </row>
    <row r="583" outlineLevel="1">
      <c r="A583" s="2"/>
      <c r="C583" s="2"/>
      <c r="G583" s="1" t="str">
        <f t="shared" si="1"/>
        <v/>
      </c>
      <c r="H583" s="2" t="str">
        <f t="shared" si="2"/>
        <v/>
      </c>
    </row>
    <row r="584" outlineLevel="1">
      <c r="A584" s="2"/>
      <c r="C584" s="2"/>
      <c r="G584" s="1" t="str">
        <f t="shared" si="1"/>
        <v/>
      </c>
      <c r="H584" s="2" t="str">
        <f t="shared" si="2"/>
        <v/>
      </c>
    </row>
    <row r="585" outlineLevel="1">
      <c r="A585" s="2"/>
      <c r="C585" s="2"/>
      <c r="G585" s="1" t="str">
        <f t="shared" si="1"/>
        <v/>
      </c>
      <c r="H585" s="2" t="str">
        <f t="shared" si="2"/>
        <v/>
      </c>
    </row>
    <row r="586" outlineLevel="1">
      <c r="A586" s="2"/>
      <c r="C586" s="2"/>
      <c r="G586" s="1" t="str">
        <f t="shared" si="1"/>
        <v/>
      </c>
      <c r="H586" s="2" t="str">
        <f t="shared" si="2"/>
        <v/>
      </c>
    </row>
    <row r="587" outlineLevel="1">
      <c r="A587" s="2"/>
      <c r="C587" s="2"/>
      <c r="G587" s="1" t="str">
        <f t="shared" si="1"/>
        <v/>
      </c>
      <c r="H587" s="2" t="str">
        <f t="shared" si="2"/>
        <v/>
      </c>
    </row>
    <row r="588" outlineLevel="1">
      <c r="A588" s="2"/>
      <c r="C588" s="2"/>
      <c r="G588" s="1" t="str">
        <f t="shared" si="1"/>
        <v/>
      </c>
      <c r="H588" s="2" t="str">
        <f t="shared" si="2"/>
        <v/>
      </c>
    </row>
    <row r="589" outlineLevel="1">
      <c r="A589" s="2"/>
      <c r="C589" s="2"/>
      <c r="G589" s="1" t="str">
        <f t="shared" si="1"/>
        <v/>
      </c>
      <c r="H589" s="2" t="str">
        <f t="shared" si="2"/>
        <v/>
      </c>
    </row>
    <row r="590" outlineLevel="1">
      <c r="A590" s="2"/>
      <c r="C590" s="2"/>
      <c r="G590" s="1" t="str">
        <f t="shared" si="1"/>
        <v/>
      </c>
      <c r="H590" s="2" t="str">
        <f t="shared" si="2"/>
        <v/>
      </c>
    </row>
    <row r="591" outlineLevel="1">
      <c r="A591" s="2"/>
      <c r="C591" s="2"/>
      <c r="G591" s="1" t="str">
        <f t="shared" si="1"/>
        <v/>
      </c>
      <c r="H591" s="2" t="str">
        <f t="shared" si="2"/>
        <v/>
      </c>
    </row>
    <row r="592" outlineLevel="1">
      <c r="A592" s="2"/>
      <c r="C592" s="2"/>
      <c r="G592" s="1" t="str">
        <f t="shared" si="1"/>
        <v/>
      </c>
      <c r="H592" s="2" t="str">
        <f t="shared" si="2"/>
        <v/>
      </c>
    </row>
    <row r="593" outlineLevel="1">
      <c r="A593" s="2"/>
      <c r="C593" s="2"/>
      <c r="G593" s="1" t="str">
        <f t="shared" si="1"/>
        <v/>
      </c>
      <c r="H593" s="2" t="str">
        <f t="shared" si="2"/>
        <v/>
      </c>
    </row>
    <row r="594" outlineLevel="1">
      <c r="A594" s="2"/>
      <c r="C594" s="2"/>
      <c r="G594" s="1" t="str">
        <f t="shared" si="1"/>
        <v/>
      </c>
      <c r="H594" s="2" t="str">
        <f t="shared" si="2"/>
        <v/>
      </c>
    </row>
    <row r="595" outlineLevel="1">
      <c r="A595" s="2"/>
      <c r="C595" s="2"/>
      <c r="G595" s="1" t="str">
        <f t="shared" si="1"/>
        <v/>
      </c>
      <c r="H595" s="2" t="str">
        <f t="shared" si="2"/>
        <v/>
      </c>
    </row>
    <row r="596" outlineLevel="1">
      <c r="A596" s="2"/>
      <c r="C596" s="2"/>
      <c r="G596" s="1" t="str">
        <f t="shared" si="1"/>
        <v/>
      </c>
      <c r="H596" s="2" t="str">
        <f t="shared" si="2"/>
        <v/>
      </c>
    </row>
    <row r="597" outlineLevel="1">
      <c r="A597" s="2"/>
      <c r="C597" s="2"/>
      <c r="G597" s="1" t="str">
        <f t="shared" si="1"/>
        <v/>
      </c>
      <c r="H597" s="2" t="str">
        <f t="shared" si="2"/>
        <v/>
      </c>
    </row>
    <row r="598" outlineLevel="1">
      <c r="A598" s="2"/>
      <c r="C598" s="2"/>
      <c r="G598" s="1" t="str">
        <f t="shared" si="1"/>
        <v/>
      </c>
      <c r="H598" s="2" t="str">
        <f t="shared" si="2"/>
        <v/>
      </c>
    </row>
    <row r="599" outlineLevel="1">
      <c r="A599" s="2"/>
      <c r="C599" s="2"/>
      <c r="G599" s="1" t="str">
        <f t="shared" si="1"/>
        <v/>
      </c>
      <c r="H599" s="2" t="str">
        <f t="shared" si="2"/>
        <v/>
      </c>
    </row>
    <row r="600" outlineLevel="1">
      <c r="A600" s="2"/>
      <c r="C600" s="2"/>
      <c r="G600" s="1" t="str">
        <f t="shared" si="1"/>
        <v/>
      </c>
      <c r="H600" s="2" t="str">
        <f t="shared" si="2"/>
        <v/>
      </c>
    </row>
    <row r="601" outlineLevel="1">
      <c r="A601" s="2"/>
      <c r="C601" s="2"/>
      <c r="G601" s="1" t="str">
        <f t="shared" si="1"/>
        <v/>
      </c>
      <c r="H601" s="2" t="str">
        <f t="shared" si="2"/>
        <v/>
      </c>
    </row>
    <row r="602" outlineLevel="1">
      <c r="A602" s="2"/>
      <c r="C602" s="2"/>
      <c r="G602" s="1" t="str">
        <f t="shared" si="1"/>
        <v/>
      </c>
      <c r="H602" s="2" t="str">
        <f t="shared" si="2"/>
        <v/>
      </c>
    </row>
    <row r="603" outlineLevel="1">
      <c r="A603" s="2"/>
      <c r="C603" s="2"/>
      <c r="G603" s="1" t="str">
        <f t="shared" si="1"/>
        <v/>
      </c>
      <c r="H603" s="2" t="str">
        <f t="shared" si="2"/>
        <v/>
      </c>
    </row>
    <row r="604" outlineLevel="1">
      <c r="A604" s="2"/>
      <c r="C604" s="2"/>
      <c r="G604" s="1" t="str">
        <f t="shared" si="1"/>
        <v/>
      </c>
      <c r="H604" s="2" t="str">
        <f t="shared" si="2"/>
        <v/>
      </c>
    </row>
    <row r="605" outlineLevel="1">
      <c r="A605" s="2"/>
      <c r="C605" s="2"/>
      <c r="G605" s="1" t="str">
        <f t="shared" si="1"/>
        <v/>
      </c>
      <c r="H605" s="2" t="str">
        <f t="shared" si="2"/>
        <v/>
      </c>
    </row>
    <row r="606" outlineLevel="1">
      <c r="A606" s="2"/>
      <c r="C606" s="2"/>
      <c r="G606" s="1" t="str">
        <f t="shared" si="1"/>
        <v/>
      </c>
      <c r="H606" s="2" t="str">
        <f t="shared" si="2"/>
        <v/>
      </c>
    </row>
    <row r="607" outlineLevel="1">
      <c r="A607" s="2"/>
      <c r="C607" s="2"/>
      <c r="G607" s="1" t="str">
        <f t="shared" si="1"/>
        <v/>
      </c>
      <c r="H607" s="2" t="str">
        <f t="shared" si="2"/>
        <v/>
      </c>
    </row>
    <row r="608" outlineLevel="1">
      <c r="A608" s="2"/>
      <c r="C608" s="2"/>
      <c r="G608" s="1" t="str">
        <f t="shared" si="1"/>
        <v/>
      </c>
      <c r="H608" s="2" t="str">
        <f t="shared" si="2"/>
        <v/>
      </c>
    </row>
    <row r="609" outlineLevel="1">
      <c r="A609" s="2"/>
      <c r="C609" s="2"/>
      <c r="G609" s="1" t="str">
        <f t="shared" si="1"/>
        <v/>
      </c>
      <c r="H609" s="2" t="str">
        <f t="shared" si="2"/>
        <v/>
      </c>
    </row>
    <row r="610" outlineLevel="1">
      <c r="A610" s="2"/>
      <c r="C610" s="2"/>
      <c r="G610" s="1" t="str">
        <f t="shared" si="1"/>
        <v/>
      </c>
      <c r="H610" s="2" t="str">
        <f t="shared" si="2"/>
        <v/>
      </c>
    </row>
    <row r="611" outlineLevel="1">
      <c r="A611" s="2"/>
      <c r="C611" s="2"/>
      <c r="G611" s="1" t="str">
        <f t="shared" si="1"/>
        <v/>
      </c>
      <c r="H611" s="2" t="str">
        <f t="shared" si="2"/>
        <v/>
      </c>
    </row>
    <row r="612" outlineLevel="1">
      <c r="A612" s="2"/>
      <c r="C612" s="2"/>
      <c r="G612" s="1" t="str">
        <f t="shared" si="1"/>
        <v/>
      </c>
      <c r="H612" s="2" t="str">
        <f t="shared" si="2"/>
        <v/>
      </c>
    </row>
    <row r="613" outlineLevel="1">
      <c r="A613" s="2"/>
      <c r="C613" s="2"/>
      <c r="G613" s="1" t="str">
        <f t="shared" si="1"/>
        <v/>
      </c>
      <c r="H613" s="2" t="str">
        <f t="shared" si="2"/>
        <v/>
      </c>
    </row>
    <row r="614" outlineLevel="1">
      <c r="A614" s="2"/>
      <c r="C614" s="2"/>
      <c r="G614" s="1" t="str">
        <f t="shared" si="1"/>
        <v/>
      </c>
      <c r="H614" s="2" t="str">
        <f t="shared" si="2"/>
        <v/>
      </c>
    </row>
    <row r="615" outlineLevel="1">
      <c r="A615" s="2"/>
      <c r="C615" s="2"/>
      <c r="G615" s="1" t="str">
        <f t="shared" si="1"/>
        <v/>
      </c>
      <c r="H615" s="2" t="str">
        <f t="shared" si="2"/>
        <v/>
      </c>
    </row>
    <row r="616" outlineLevel="1">
      <c r="A616" s="2"/>
      <c r="C616" s="2"/>
      <c r="G616" s="1" t="str">
        <f t="shared" si="1"/>
        <v/>
      </c>
      <c r="H616" s="2" t="str">
        <f t="shared" si="2"/>
        <v/>
      </c>
    </row>
    <row r="617" outlineLevel="1">
      <c r="A617" s="2"/>
      <c r="C617" s="2"/>
      <c r="G617" s="1" t="str">
        <f t="shared" si="1"/>
        <v/>
      </c>
      <c r="H617" s="2" t="str">
        <f t="shared" si="2"/>
        <v/>
      </c>
    </row>
    <row r="618" outlineLevel="1">
      <c r="A618" s="2"/>
      <c r="C618" s="2"/>
      <c r="G618" s="1" t="str">
        <f t="shared" si="1"/>
        <v/>
      </c>
      <c r="H618" s="2" t="str">
        <f t="shared" si="2"/>
        <v/>
      </c>
    </row>
    <row r="619" outlineLevel="1">
      <c r="A619" s="2"/>
      <c r="C619" s="2"/>
      <c r="G619" s="1" t="str">
        <f t="shared" si="1"/>
        <v/>
      </c>
      <c r="H619" s="2" t="str">
        <f t="shared" si="2"/>
        <v/>
      </c>
    </row>
    <row r="620" outlineLevel="1">
      <c r="A620" s="2"/>
      <c r="C620" s="2"/>
      <c r="G620" s="1" t="str">
        <f t="shared" si="1"/>
        <v/>
      </c>
      <c r="H620" s="2" t="str">
        <f t="shared" si="2"/>
        <v/>
      </c>
    </row>
    <row r="621" outlineLevel="1">
      <c r="A621" s="2"/>
      <c r="C621" s="2"/>
      <c r="G621" s="1" t="str">
        <f t="shared" si="1"/>
        <v/>
      </c>
      <c r="H621" s="2" t="str">
        <f t="shared" si="2"/>
        <v/>
      </c>
    </row>
    <row r="622" outlineLevel="1">
      <c r="A622" s="2"/>
      <c r="C622" s="2"/>
      <c r="G622" s="1" t="str">
        <f t="shared" si="1"/>
        <v/>
      </c>
      <c r="H622" s="2" t="str">
        <f t="shared" si="2"/>
        <v/>
      </c>
    </row>
    <row r="623" outlineLevel="1">
      <c r="A623" s="2"/>
      <c r="C623" s="2"/>
      <c r="G623" s="1" t="str">
        <f t="shared" si="1"/>
        <v/>
      </c>
      <c r="H623" s="2" t="str">
        <f t="shared" si="2"/>
        <v/>
      </c>
    </row>
    <row r="624" outlineLevel="1">
      <c r="A624" s="2"/>
      <c r="C624" s="2"/>
      <c r="G624" s="1" t="str">
        <f t="shared" si="1"/>
        <v/>
      </c>
      <c r="H624" s="2" t="str">
        <f t="shared" si="2"/>
        <v/>
      </c>
    </row>
    <row r="625" outlineLevel="1">
      <c r="A625" s="2"/>
      <c r="C625" s="2"/>
      <c r="G625" s="1" t="str">
        <f t="shared" si="1"/>
        <v/>
      </c>
      <c r="H625" s="2" t="str">
        <f t="shared" si="2"/>
        <v/>
      </c>
    </row>
    <row r="626" outlineLevel="1">
      <c r="A626" s="2"/>
      <c r="C626" s="2"/>
      <c r="G626" s="1" t="str">
        <f t="shared" si="1"/>
        <v/>
      </c>
      <c r="H626" s="2" t="str">
        <f t="shared" si="2"/>
        <v/>
      </c>
    </row>
    <row r="627" outlineLevel="1">
      <c r="A627" s="2"/>
      <c r="C627" s="2"/>
      <c r="G627" s="1" t="str">
        <f t="shared" si="1"/>
        <v/>
      </c>
      <c r="H627" s="2" t="str">
        <f t="shared" si="2"/>
        <v/>
      </c>
    </row>
    <row r="628" outlineLevel="1">
      <c r="A628" s="2"/>
      <c r="C628" s="2"/>
      <c r="G628" s="1" t="str">
        <f t="shared" si="1"/>
        <v/>
      </c>
      <c r="H628" s="2" t="str">
        <f t="shared" si="2"/>
        <v/>
      </c>
    </row>
    <row r="629" outlineLevel="1">
      <c r="A629" s="2"/>
      <c r="C629" s="2"/>
      <c r="G629" s="1" t="str">
        <f t="shared" si="1"/>
        <v/>
      </c>
      <c r="H629" s="2" t="str">
        <f t="shared" si="2"/>
        <v/>
      </c>
    </row>
    <row r="630" outlineLevel="1">
      <c r="A630" s="2"/>
      <c r="C630" s="2"/>
      <c r="G630" s="1" t="str">
        <f t="shared" si="1"/>
        <v/>
      </c>
      <c r="H630" s="2" t="str">
        <f t="shared" si="2"/>
        <v/>
      </c>
    </row>
    <row r="631" outlineLevel="1">
      <c r="A631" s="2"/>
      <c r="C631" s="2"/>
      <c r="G631" s="1" t="str">
        <f t="shared" si="1"/>
        <v/>
      </c>
      <c r="H631" s="2" t="str">
        <f t="shared" si="2"/>
        <v/>
      </c>
    </row>
    <row r="632" outlineLevel="1">
      <c r="A632" s="2"/>
      <c r="C632" s="2"/>
      <c r="G632" s="1" t="str">
        <f t="shared" si="1"/>
        <v/>
      </c>
      <c r="H632" s="2" t="str">
        <f t="shared" si="2"/>
        <v/>
      </c>
    </row>
    <row r="633" outlineLevel="1">
      <c r="A633" s="2"/>
      <c r="C633" s="2"/>
      <c r="G633" s="1" t="str">
        <f t="shared" si="1"/>
        <v/>
      </c>
      <c r="H633" s="2" t="str">
        <f t="shared" si="2"/>
        <v/>
      </c>
    </row>
    <row r="634" outlineLevel="1">
      <c r="A634" s="2"/>
      <c r="C634" s="2"/>
      <c r="G634" s="1" t="str">
        <f t="shared" si="1"/>
        <v/>
      </c>
      <c r="H634" s="2" t="str">
        <f t="shared" si="2"/>
        <v/>
      </c>
    </row>
    <row r="635" outlineLevel="1">
      <c r="A635" s="2"/>
      <c r="C635" s="2"/>
      <c r="G635" s="1" t="str">
        <f t="shared" si="1"/>
        <v/>
      </c>
      <c r="H635" s="2" t="str">
        <f t="shared" si="2"/>
        <v/>
      </c>
    </row>
    <row r="636" outlineLevel="1">
      <c r="A636" s="2"/>
      <c r="C636" s="2"/>
      <c r="G636" s="1" t="str">
        <f t="shared" si="1"/>
        <v/>
      </c>
      <c r="H636" s="2" t="str">
        <f t="shared" si="2"/>
        <v/>
      </c>
    </row>
    <row r="637" outlineLevel="1">
      <c r="A637" s="2"/>
      <c r="C637" s="2"/>
      <c r="G637" s="1" t="str">
        <f t="shared" si="1"/>
        <v/>
      </c>
      <c r="H637" s="2" t="str">
        <f t="shared" si="2"/>
        <v/>
      </c>
    </row>
    <row r="638" outlineLevel="1">
      <c r="A638" s="2"/>
      <c r="C638" s="2"/>
      <c r="G638" s="1" t="str">
        <f t="shared" si="1"/>
        <v/>
      </c>
      <c r="H638" s="2" t="str">
        <f t="shared" si="2"/>
        <v/>
      </c>
    </row>
    <row r="639" outlineLevel="1">
      <c r="A639" s="2"/>
      <c r="C639" s="2"/>
      <c r="G639" s="1" t="str">
        <f t="shared" si="1"/>
        <v/>
      </c>
      <c r="H639" s="2" t="str">
        <f t="shared" si="2"/>
        <v/>
      </c>
    </row>
    <row r="640" outlineLevel="1">
      <c r="A640" s="2"/>
      <c r="C640" s="2"/>
      <c r="G640" s="1" t="str">
        <f t="shared" si="1"/>
        <v/>
      </c>
      <c r="H640" s="2" t="str">
        <f t="shared" si="2"/>
        <v/>
      </c>
    </row>
    <row r="641" outlineLevel="1">
      <c r="A641" s="2"/>
      <c r="C641" s="2"/>
      <c r="G641" s="1" t="str">
        <f t="shared" si="1"/>
        <v/>
      </c>
      <c r="H641" s="2" t="str">
        <f t="shared" si="2"/>
        <v/>
      </c>
    </row>
    <row r="642" outlineLevel="1">
      <c r="A642" s="2"/>
      <c r="C642" s="2"/>
      <c r="G642" s="1" t="str">
        <f t="shared" si="1"/>
        <v/>
      </c>
      <c r="H642" s="2" t="str">
        <f t="shared" si="2"/>
        <v/>
      </c>
    </row>
    <row r="643" outlineLevel="1">
      <c r="A643" s="2"/>
      <c r="C643" s="2"/>
      <c r="G643" s="1" t="str">
        <f t="shared" si="1"/>
        <v/>
      </c>
      <c r="H643" s="2" t="str">
        <f t="shared" si="2"/>
        <v/>
      </c>
    </row>
    <row r="644" outlineLevel="1">
      <c r="A644" s="2"/>
      <c r="C644" s="2"/>
      <c r="G644" s="1" t="str">
        <f t="shared" si="1"/>
        <v/>
      </c>
      <c r="H644" s="2" t="str">
        <f t="shared" si="2"/>
        <v/>
      </c>
    </row>
    <row r="645" outlineLevel="1">
      <c r="A645" s="2"/>
      <c r="C645" s="2"/>
      <c r="G645" s="1" t="str">
        <f t="shared" si="1"/>
        <v/>
      </c>
      <c r="H645" s="2" t="str">
        <f t="shared" si="2"/>
        <v/>
      </c>
    </row>
    <row r="646" outlineLevel="1">
      <c r="A646" s="2"/>
      <c r="C646" s="2"/>
      <c r="G646" s="1" t="str">
        <f t="shared" si="1"/>
        <v/>
      </c>
      <c r="H646" s="2" t="str">
        <f t="shared" si="2"/>
        <v/>
      </c>
    </row>
    <row r="647" outlineLevel="1">
      <c r="A647" s="2"/>
      <c r="C647" s="2"/>
      <c r="G647" s="1" t="str">
        <f t="shared" si="1"/>
        <v/>
      </c>
      <c r="H647" s="2" t="str">
        <f t="shared" si="2"/>
        <v/>
      </c>
    </row>
    <row r="648" outlineLevel="1">
      <c r="A648" s="2"/>
      <c r="C648" s="2"/>
      <c r="G648" s="1" t="str">
        <f t="shared" si="1"/>
        <v/>
      </c>
      <c r="H648" s="2" t="str">
        <f t="shared" si="2"/>
        <v/>
      </c>
    </row>
    <row r="649" outlineLevel="1">
      <c r="A649" s="2"/>
      <c r="C649" s="2"/>
      <c r="G649" s="1" t="str">
        <f t="shared" si="1"/>
        <v/>
      </c>
      <c r="H649" s="2" t="str">
        <f t="shared" si="2"/>
        <v/>
      </c>
    </row>
    <row r="650" outlineLevel="1">
      <c r="A650" s="2"/>
      <c r="C650" s="2"/>
      <c r="G650" s="1" t="str">
        <f t="shared" si="1"/>
        <v/>
      </c>
      <c r="H650" s="2" t="str">
        <f t="shared" si="2"/>
        <v/>
      </c>
    </row>
    <row r="651" outlineLevel="1">
      <c r="A651" s="2"/>
      <c r="C651" s="2"/>
      <c r="G651" s="1" t="str">
        <f t="shared" si="1"/>
        <v/>
      </c>
      <c r="H651" s="2" t="str">
        <f t="shared" si="2"/>
        <v/>
      </c>
    </row>
    <row r="652" outlineLevel="1">
      <c r="A652" s="2"/>
      <c r="C652" s="2"/>
      <c r="G652" s="1" t="str">
        <f t="shared" si="1"/>
        <v/>
      </c>
      <c r="H652" s="2" t="str">
        <f t="shared" si="2"/>
        <v/>
      </c>
    </row>
    <row r="653" outlineLevel="1">
      <c r="A653" s="2"/>
      <c r="C653" s="2"/>
      <c r="G653" s="1" t="str">
        <f t="shared" si="1"/>
        <v/>
      </c>
      <c r="H653" s="2" t="str">
        <f t="shared" si="2"/>
        <v/>
      </c>
    </row>
    <row r="654" outlineLevel="1">
      <c r="A654" s="2"/>
      <c r="C654" s="2"/>
      <c r="G654" s="1" t="str">
        <f t="shared" si="1"/>
        <v/>
      </c>
      <c r="H654" s="2" t="str">
        <f t="shared" si="2"/>
        <v/>
      </c>
    </row>
    <row r="655" outlineLevel="1">
      <c r="A655" s="2"/>
      <c r="C655" s="2"/>
      <c r="G655" s="1" t="str">
        <f t="shared" si="1"/>
        <v/>
      </c>
      <c r="H655" s="2" t="str">
        <f t="shared" si="2"/>
        <v/>
      </c>
    </row>
    <row r="656" outlineLevel="1">
      <c r="A656" s="2"/>
      <c r="C656" s="2"/>
      <c r="G656" s="1" t="str">
        <f t="shared" si="1"/>
        <v/>
      </c>
      <c r="H656" s="2" t="str">
        <f t="shared" si="2"/>
        <v/>
      </c>
    </row>
    <row r="657" outlineLevel="1">
      <c r="A657" s="2"/>
      <c r="C657" s="2"/>
      <c r="G657" s="1" t="str">
        <f t="shared" si="1"/>
        <v/>
      </c>
      <c r="H657" s="2" t="str">
        <f t="shared" si="2"/>
        <v/>
      </c>
    </row>
    <row r="658" outlineLevel="1">
      <c r="A658" s="2"/>
      <c r="C658" s="2"/>
      <c r="G658" s="1" t="str">
        <f t="shared" si="1"/>
        <v/>
      </c>
      <c r="H658" s="2" t="str">
        <f t="shared" si="2"/>
        <v/>
      </c>
    </row>
    <row r="659" outlineLevel="1">
      <c r="A659" s="2"/>
      <c r="C659" s="2"/>
      <c r="G659" s="1" t="str">
        <f t="shared" si="1"/>
        <v/>
      </c>
      <c r="H659" s="2" t="str">
        <f t="shared" si="2"/>
        <v/>
      </c>
    </row>
    <row r="660" outlineLevel="1">
      <c r="A660" s="2"/>
      <c r="C660" s="2"/>
      <c r="G660" s="1" t="str">
        <f t="shared" si="1"/>
        <v/>
      </c>
      <c r="H660" s="2" t="str">
        <f t="shared" si="2"/>
        <v/>
      </c>
    </row>
    <row r="661" outlineLevel="1">
      <c r="A661" s="2"/>
      <c r="C661" s="2"/>
      <c r="G661" s="1" t="str">
        <f t="shared" si="1"/>
        <v/>
      </c>
      <c r="H661" s="2" t="str">
        <f t="shared" si="2"/>
        <v/>
      </c>
    </row>
    <row r="662" outlineLevel="1">
      <c r="A662" s="2"/>
      <c r="C662" s="2"/>
      <c r="G662" s="1" t="str">
        <f t="shared" si="1"/>
        <v/>
      </c>
      <c r="H662" s="2" t="str">
        <f t="shared" si="2"/>
        <v/>
      </c>
    </row>
    <row r="663" outlineLevel="1">
      <c r="A663" s="2"/>
      <c r="C663" s="2"/>
      <c r="G663" s="1" t="str">
        <f t="shared" si="1"/>
        <v/>
      </c>
      <c r="H663" s="2" t="str">
        <f t="shared" si="2"/>
        <v/>
      </c>
    </row>
    <row r="664" outlineLevel="1">
      <c r="A664" s="2"/>
      <c r="C664" s="2"/>
      <c r="G664" s="1" t="str">
        <f t="shared" si="1"/>
        <v/>
      </c>
      <c r="H664" s="2" t="str">
        <f t="shared" si="2"/>
        <v/>
      </c>
    </row>
    <row r="665" outlineLevel="1">
      <c r="A665" s="2"/>
      <c r="C665" s="2"/>
      <c r="G665" s="1" t="str">
        <f t="shared" si="1"/>
        <v/>
      </c>
      <c r="H665" s="2" t="str">
        <f t="shared" si="2"/>
        <v/>
      </c>
    </row>
    <row r="666" outlineLevel="1">
      <c r="A666" s="2"/>
      <c r="C666" s="2"/>
      <c r="G666" s="1" t="str">
        <f t="shared" si="1"/>
        <v/>
      </c>
      <c r="H666" s="2" t="str">
        <f t="shared" si="2"/>
        <v/>
      </c>
    </row>
    <row r="667" outlineLevel="1">
      <c r="A667" s="2"/>
      <c r="C667" s="2"/>
      <c r="G667" s="1" t="str">
        <f t="shared" si="1"/>
        <v/>
      </c>
      <c r="H667" s="2" t="str">
        <f t="shared" si="2"/>
        <v/>
      </c>
    </row>
    <row r="668" outlineLevel="1">
      <c r="A668" s="2"/>
      <c r="C668" s="2"/>
      <c r="G668" s="1" t="str">
        <f t="shared" si="1"/>
        <v/>
      </c>
      <c r="H668" s="2" t="str">
        <f t="shared" si="2"/>
        <v/>
      </c>
    </row>
    <row r="669" outlineLevel="1">
      <c r="A669" s="2"/>
      <c r="C669" s="2"/>
      <c r="G669" s="1" t="str">
        <f t="shared" si="1"/>
        <v/>
      </c>
      <c r="H669" s="2" t="str">
        <f t="shared" si="2"/>
        <v/>
      </c>
    </row>
    <row r="670" outlineLevel="1">
      <c r="A670" s="2"/>
      <c r="C670" s="2"/>
      <c r="G670" s="1" t="str">
        <f t="shared" si="1"/>
        <v/>
      </c>
      <c r="H670" s="2" t="str">
        <f t="shared" si="2"/>
        <v/>
      </c>
    </row>
    <row r="671" outlineLevel="1">
      <c r="A671" s="2"/>
      <c r="C671" s="2"/>
      <c r="G671" s="1" t="str">
        <f t="shared" si="1"/>
        <v/>
      </c>
      <c r="H671" s="2" t="str">
        <f t="shared" si="2"/>
        <v/>
      </c>
    </row>
    <row r="672" outlineLevel="1">
      <c r="A672" s="2"/>
      <c r="C672" s="2"/>
      <c r="G672" s="1" t="str">
        <f t="shared" si="1"/>
        <v/>
      </c>
      <c r="H672" s="2" t="str">
        <f t="shared" si="2"/>
        <v/>
      </c>
    </row>
    <row r="673" outlineLevel="1">
      <c r="A673" s="2"/>
      <c r="C673" s="2"/>
      <c r="G673" s="1" t="str">
        <f t="shared" si="1"/>
        <v/>
      </c>
      <c r="H673" s="2" t="str">
        <f t="shared" si="2"/>
        <v/>
      </c>
    </row>
    <row r="674" outlineLevel="1">
      <c r="A674" s="2"/>
      <c r="C674" s="2"/>
      <c r="G674" s="1" t="str">
        <f t="shared" si="1"/>
        <v/>
      </c>
      <c r="H674" s="2" t="str">
        <f t="shared" si="2"/>
        <v/>
      </c>
    </row>
    <row r="675" outlineLevel="1">
      <c r="A675" s="2"/>
      <c r="C675" s="2"/>
      <c r="G675" s="1" t="str">
        <f t="shared" si="1"/>
        <v/>
      </c>
      <c r="H675" s="2" t="str">
        <f t="shared" si="2"/>
        <v/>
      </c>
    </row>
    <row r="676" outlineLevel="1">
      <c r="A676" s="2"/>
      <c r="C676" s="2"/>
      <c r="G676" s="1" t="str">
        <f t="shared" si="1"/>
        <v/>
      </c>
      <c r="H676" s="2" t="str">
        <f t="shared" si="2"/>
        <v/>
      </c>
    </row>
    <row r="677" outlineLevel="1">
      <c r="A677" s="2"/>
      <c r="C677" s="2"/>
      <c r="G677" s="1" t="str">
        <f t="shared" si="1"/>
        <v/>
      </c>
      <c r="H677" s="2" t="str">
        <f t="shared" si="2"/>
        <v/>
      </c>
    </row>
    <row r="678" outlineLevel="1">
      <c r="A678" s="2"/>
      <c r="C678" s="2"/>
      <c r="G678" s="1" t="str">
        <f t="shared" si="1"/>
        <v/>
      </c>
      <c r="H678" s="2" t="str">
        <f t="shared" si="2"/>
        <v/>
      </c>
    </row>
    <row r="679" outlineLevel="1">
      <c r="A679" s="2"/>
      <c r="C679" s="2"/>
      <c r="G679" s="1" t="str">
        <f t="shared" si="1"/>
        <v/>
      </c>
      <c r="H679" s="2" t="str">
        <f t="shared" si="2"/>
        <v/>
      </c>
    </row>
    <row r="680" outlineLevel="1">
      <c r="A680" s="2"/>
      <c r="C680" s="2"/>
      <c r="G680" s="1" t="str">
        <f t="shared" si="1"/>
        <v/>
      </c>
      <c r="H680" s="2" t="str">
        <f t="shared" si="2"/>
        <v/>
      </c>
    </row>
    <row r="681" outlineLevel="1">
      <c r="A681" s="2"/>
      <c r="C681" s="2"/>
      <c r="G681" s="1" t="str">
        <f t="shared" si="1"/>
        <v/>
      </c>
      <c r="H681" s="2" t="str">
        <f t="shared" si="2"/>
        <v/>
      </c>
    </row>
    <row r="682" outlineLevel="1">
      <c r="A682" s="2"/>
      <c r="C682" s="2"/>
      <c r="G682" s="1" t="str">
        <f t="shared" si="1"/>
        <v/>
      </c>
      <c r="H682" s="2" t="str">
        <f t="shared" si="2"/>
        <v/>
      </c>
    </row>
    <row r="683" outlineLevel="1">
      <c r="A683" s="2"/>
      <c r="C683" s="2"/>
      <c r="G683" s="1" t="str">
        <f t="shared" si="1"/>
        <v/>
      </c>
      <c r="H683" s="2" t="str">
        <f t="shared" si="2"/>
        <v/>
      </c>
    </row>
    <row r="684" outlineLevel="1">
      <c r="A684" s="2"/>
      <c r="C684" s="2"/>
      <c r="G684" s="1" t="str">
        <f t="shared" si="1"/>
        <v/>
      </c>
      <c r="H684" s="2" t="str">
        <f t="shared" si="2"/>
        <v/>
      </c>
    </row>
    <row r="685" outlineLevel="1">
      <c r="A685" s="2"/>
      <c r="C685" s="2"/>
      <c r="G685" s="1" t="str">
        <f t="shared" si="1"/>
        <v/>
      </c>
      <c r="H685" s="2" t="str">
        <f t="shared" si="2"/>
        <v/>
      </c>
    </row>
    <row r="686" outlineLevel="1">
      <c r="A686" s="2"/>
      <c r="C686" s="2"/>
      <c r="G686" s="1" t="str">
        <f t="shared" si="1"/>
        <v/>
      </c>
      <c r="H686" s="2" t="str">
        <f t="shared" si="2"/>
        <v/>
      </c>
    </row>
    <row r="687" outlineLevel="1">
      <c r="A687" s="2"/>
      <c r="C687" s="2"/>
      <c r="G687" s="1" t="str">
        <f t="shared" si="1"/>
        <v/>
      </c>
      <c r="H687" s="2" t="str">
        <f t="shared" si="2"/>
        <v/>
      </c>
    </row>
    <row r="688" outlineLevel="1">
      <c r="A688" s="2"/>
      <c r="C688" s="2"/>
      <c r="G688" s="1" t="str">
        <f t="shared" si="1"/>
        <v/>
      </c>
      <c r="H688" s="2" t="str">
        <f t="shared" si="2"/>
        <v/>
      </c>
    </row>
    <row r="689" outlineLevel="1">
      <c r="A689" s="2"/>
      <c r="C689" s="2"/>
      <c r="G689" s="1" t="str">
        <f t="shared" si="1"/>
        <v/>
      </c>
      <c r="H689" s="2" t="str">
        <f t="shared" si="2"/>
        <v/>
      </c>
    </row>
    <row r="690" outlineLevel="1">
      <c r="A690" s="2"/>
      <c r="C690" s="2"/>
      <c r="G690" s="1" t="str">
        <f t="shared" si="1"/>
        <v/>
      </c>
      <c r="H690" s="2" t="str">
        <f t="shared" si="2"/>
        <v/>
      </c>
    </row>
    <row r="691" outlineLevel="1">
      <c r="A691" s="2"/>
      <c r="C691" s="2"/>
      <c r="G691" s="1" t="str">
        <f t="shared" si="1"/>
        <v/>
      </c>
      <c r="H691" s="2" t="str">
        <f t="shared" si="2"/>
        <v/>
      </c>
    </row>
    <row r="692" outlineLevel="1">
      <c r="A692" s="2"/>
      <c r="C692" s="2"/>
      <c r="G692" s="1" t="str">
        <f t="shared" si="1"/>
        <v/>
      </c>
      <c r="H692" s="2" t="str">
        <f t="shared" si="2"/>
        <v/>
      </c>
    </row>
    <row r="693" outlineLevel="1">
      <c r="A693" s="2"/>
      <c r="C693" s="2"/>
      <c r="G693" s="1" t="str">
        <f t="shared" si="1"/>
        <v/>
      </c>
      <c r="H693" s="2" t="str">
        <f t="shared" si="2"/>
        <v/>
      </c>
    </row>
    <row r="694" outlineLevel="1">
      <c r="A694" s="2"/>
      <c r="C694" s="2"/>
      <c r="G694" s="1" t="str">
        <f t="shared" si="1"/>
        <v/>
      </c>
      <c r="H694" s="2" t="str">
        <f t="shared" si="2"/>
        <v/>
      </c>
    </row>
    <row r="695" outlineLevel="1">
      <c r="A695" s="2"/>
      <c r="C695" s="2"/>
      <c r="G695" s="1" t="str">
        <f t="shared" si="1"/>
        <v/>
      </c>
      <c r="H695" s="2" t="str">
        <f t="shared" si="2"/>
        <v/>
      </c>
    </row>
    <row r="696" outlineLevel="1">
      <c r="A696" s="2"/>
      <c r="C696" s="2"/>
      <c r="G696" s="1" t="str">
        <f t="shared" si="1"/>
        <v/>
      </c>
      <c r="H696" s="2" t="str">
        <f t="shared" si="2"/>
        <v/>
      </c>
    </row>
    <row r="697" outlineLevel="1">
      <c r="A697" s="2"/>
      <c r="C697" s="2"/>
      <c r="G697" s="1" t="str">
        <f t="shared" si="1"/>
        <v/>
      </c>
      <c r="H697" s="2" t="str">
        <f t="shared" si="2"/>
        <v/>
      </c>
    </row>
    <row r="698" outlineLevel="1">
      <c r="A698" s="2"/>
      <c r="C698" s="2"/>
      <c r="G698" s="1" t="str">
        <f t="shared" si="1"/>
        <v/>
      </c>
      <c r="H698" s="2" t="str">
        <f t="shared" si="2"/>
        <v/>
      </c>
    </row>
    <row r="699" outlineLevel="1">
      <c r="A699" s="2"/>
      <c r="C699" s="2"/>
      <c r="G699" s="1" t="str">
        <f t="shared" si="1"/>
        <v/>
      </c>
      <c r="H699" s="2" t="str">
        <f t="shared" si="2"/>
        <v/>
      </c>
    </row>
    <row r="700" outlineLevel="1">
      <c r="A700" s="2"/>
      <c r="C700" s="2"/>
      <c r="G700" s="1" t="str">
        <f t="shared" si="1"/>
        <v/>
      </c>
      <c r="H700" s="2" t="str">
        <f t="shared" si="2"/>
        <v/>
      </c>
    </row>
    <row r="701" outlineLevel="1">
      <c r="A701" s="2"/>
      <c r="C701" s="2"/>
      <c r="G701" s="1" t="str">
        <f t="shared" si="1"/>
        <v/>
      </c>
      <c r="H701" s="2" t="str">
        <f t="shared" si="2"/>
        <v/>
      </c>
    </row>
    <row r="702" outlineLevel="1">
      <c r="A702" s="2"/>
      <c r="C702" s="2"/>
      <c r="G702" s="1" t="str">
        <f t="shared" si="1"/>
        <v/>
      </c>
      <c r="H702" s="2" t="str">
        <f t="shared" si="2"/>
        <v/>
      </c>
    </row>
    <row r="703" outlineLevel="1">
      <c r="A703" s="2"/>
      <c r="C703" s="2"/>
      <c r="G703" s="1" t="str">
        <f t="shared" si="1"/>
        <v/>
      </c>
      <c r="H703" s="2" t="str">
        <f t="shared" si="2"/>
        <v/>
      </c>
    </row>
    <row r="704" outlineLevel="1">
      <c r="A704" s="2"/>
      <c r="C704" s="2"/>
      <c r="G704" s="1" t="str">
        <f t="shared" si="1"/>
        <v/>
      </c>
      <c r="H704" s="2" t="str">
        <f t="shared" si="2"/>
        <v/>
      </c>
    </row>
    <row r="705" outlineLevel="1">
      <c r="A705" s="2"/>
      <c r="C705" s="2"/>
      <c r="G705" s="1" t="str">
        <f t="shared" si="1"/>
        <v/>
      </c>
      <c r="H705" s="2" t="str">
        <f t="shared" si="2"/>
        <v/>
      </c>
    </row>
    <row r="706" outlineLevel="1">
      <c r="A706" s="2"/>
      <c r="C706" s="2"/>
      <c r="G706" s="1" t="str">
        <f t="shared" si="1"/>
        <v/>
      </c>
      <c r="H706" s="2" t="str">
        <f t="shared" si="2"/>
        <v/>
      </c>
    </row>
    <row r="707" outlineLevel="1">
      <c r="A707" s="2"/>
      <c r="C707" s="2"/>
      <c r="G707" s="1" t="str">
        <f t="shared" si="1"/>
        <v/>
      </c>
      <c r="H707" s="2" t="str">
        <f t="shared" si="2"/>
        <v/>
      </c>
    </row>
    <row r="708" outlineLevel="1">
      <c r="A708" s="2"/>
      <c r="C708" s="2"/>
      <c r="G708" s="1" t="str">
        <f t="shared" si="1"/>
        <v/>
      </c>
      <c r="H708" s="2" t="str">
        <f t="shared" si="2"/>
        <v/>
      </c>
    </row>
    <row r="709" outlineLevel="1">
      <c r="A709" s="2"/>
      <c r="C709" s="2"/>
      <c r="G709" s="1" t="str">
        <f t="shared" si="1"/>
        <v/>
      </c>
      <c r="H709" s="2" t="str">
        <f t="shared" si="2"/>
        <v/>
      </c>
    </row>
    <row r="710" outlineLevel="1">
      <c r="A710" s="2"/>
      <c r="C710" s="2"/>
      <c r="G710" s="1" t="str">
        <f t="shared" si="1"/>
        <v/>
      </c>
      <c r="H710" s="2" t="str">
        <f t="shared" si="2"/>
        <v/>
      </c>
    </row>
    <row r="711" outlineLevel="1">
      <c r="A711" s="2"/>
      <c r="C711" s="2"/>
      <c r="G711" s="1" t="str">
        <f t="shared" si="1"/>
        <v/>
      </c>
      <c r="H711" s="2" t="str">
        <f t="shared" si="2"/>
        <v/>
      </c>
    </row>
    <row r="712" outlineLevel="1">
      <c r="A712" s="2"/>
      <c r="C712" s="2"/>
      <c r="G712" s="1" t="str">
        <f t="shared" si="1"/>
        <v/>
      </c>
      <c r="H712" s="2" t="str">
        <f t="shared" si="2"/>
        <v/>
      </c>
    </row>
    <row r="713" outlineLevel="1">
      <c r="A713" s="2"/>
      <c r="C713" s="2"/>
      <c r="G713" s="1" t="str">
        <f t="shared" si="1"/>
        <v/>
      </c>
      <c r="H713" s="2" t="str">
        <f t="shared" si="2"/>
        <v/>
      </c>
    </row>
    <row r="714" outlineLevel="1">
      <c r="A714" s="2"/>
      <c r="C714" s="2"/>
      <c r="G714" s="1" t="str">
        <f t="shared" si="1"/>
        <v/>
      </c>
      <c r="H714" s="2" t="str">
        <f t="shared" si="2"/>
        <v/>
      </c>
    </row>
    <row r="715" outlineLevel="1">
      <c r="A715" s="2"/>
      <c r="C715" s="2"/>
      <c r="G715" s="1" t="str">
        <f t="shared" si="1"/>
        <v/>
      </c>
      <c r="H715" s="2" t="str">
        <f t="shared" si="2"/>
        <v/>
      </c>
    </row>
    <row r="716" outlineLevel="1">
      <c r="A716" s="2"/>
      <c r="C716" s="2"/>
      <c r="G716" s="1" t="str">
        <f t="shared" si="1"/>
        <v/>
      </c>
      <c r="H716" s="2" t="str">
        <f t="shared" si="2"/>
        <v/>
      </c>
    </row>
    <row r="717" outlineLevel="1">
      <c r="A717" s="2"/>
      <c r="C717" s="2"/>
      <c r="G717" s="1" t="str">
        <f t="shared" si="1"/>
        <v/>
      </c>
      <c r="H717" s="2" t="str">
        <f t="shared" si="2"/>
        <v/>
      </c>
    </row>
    <row r="718" outlineLevel="1">
      <c r="A718" s="2"/>
      <c r="C718" s="2"/>
      <c r="G718" s="1" t="str">
        <f t="shared" si="1"/>
        <v/>
      </c>
      <c r="H718" s="2" t="str">
        <f t="shared" si="2"/>
        <v/>
      </c>
    </row>
    <row r="719" outlineLevel="1">
      <c r="A719" s="2"/>
      <c r="C719" s="2"/>
      <c r="G719" s="1" t="str">
        <f t="shared" si="1"/>
        <v/>
      </c>
      <c r="H719" s="2" t="str">
        <f t="shared" si="2"/>
        <v/>
      </c>
    </row>
    <row r="720" outlineLevel="1">
      <c r="A720" s="2"/>
      <c r="C720" s="2"/>
      <c r="G720" s="1" t="str">
        <f t="shared" si="1"/>
        <v/>
      </c>
      <c r="H720" s="2" t="str">
        <f t="shared" si="2"/>
        <v/>
      </c>
    </row>
    <row r="721" outlineLevel="1">
      <c r="A721" s="2"/>
      <c r="C721" s="2"/>
      <c r="G721" s="1" t="str">
        <f t="shared" si="1"/>
        <v/>
      </c>
      <c r="H721" s="2" t="str">
        <f t="shared" si="2"/>
        <v/>
      </c>
    </row>
    <row r="722" outlineLevel="1">
      <c r="A722" s="2"/>
      <c r="C722" s="2"/>
      <c r="G722" s="1" t="str">
        <f t="shared" si="1"/>
        <v/>
      </c>
      <c r="H722" s="2" t="str">
        <f t="shared" si="2"/>
        <v/>
      </c>
    </row>
    <row r="723" outlineLevel="1">
      <c r="A723" s="2"/>
      <c r="C723" s="2"/>
      <c r="G723" s="1" t="str">
        <f t="shared" si="1"/>
        <v/>
      </c>
      <c r="H723" s="2" t="str">
        <f t="shared" si="2"/>
        <v/>
      </c>
    </row>
    <row r="724" outlineLevel="1">
      <c r="A724" s="2"/>
      <c r="C724" s="2"/>
      <c r="G724" s="1" t="str">
        <f t="shared" si="1"/>
        <v/>
      </c>
      <c r="H724" s="2" t="str">
        <f t="shared" si="2"/>
        <v/>
      </c>
    </row>
    <row r="725" outlineLevel="1">
      <c r="A725" s="2"/>
      <c r="C725" s="2"/>
      <c r="G725" s="1" t="str">
        <f t="shared" si="1"/>
        <v/>
      </c>
      <c r="H725" s="2" t="str">
        <f t="shared" si="2"/>
        <v/>
      </c>
    </row>
    <row r="726" outlineLevel="1">
      <c r="A726" s="2"/>
      <c r="C726" s="2"/>
      <c r="G726" s="1" t="str">
        <f t="shared" si="1"/>
        <v/>
      </c>
      <c r="H726" s="2" t="str">
        <f t="shared" si="2"/>
        <v/>
      </c>
    </row>
    <row r="727" outlineLevel="1">
      <c r="A727" s="2"/>
      <c r="C727" s="2"/>
      <c r="G727" s="1" t="str">
        <f t="shared" si="1"/>
        <v/>
      </c>
      <c r="H727" s="2" t="str">
        <f t="shared" si="2"/>
        <v/>
      </c>
    </row>
    <row r="728" outlineLevel="1">
      <c r="A728" s="2"/>
      <c r="C728" s="2"/>
      <c r="G728" s="1" t="str">
        <f t="shared" si="1"/>
        <v/>
      </c>
      <c r="H728" s="2" t="str">
        <f t="shared" si="2"/>
        <v/>
      </c>
    </row>
    <row r="729" outlineLevel="1">
      <c r="A729" s="2"/>
      <c r="C729" s="2"/>
      <c r="G729" s="1" t="str">
        <f t="shared" si="1"/>
        <v/>
      </c>
      <c r="H729" s="2" t="str">
        <f t="shared" si="2"/>
        <v/>
      </c>
    </row>
    <row r="730" outlineLevel="1">
      <c r="A730" s="2"/>
      <c r="C730" s="2"/>
      <c r="G730" s="1" t="str">
        <f t="shared" si="1"/>
        <v/>
      </c>
      <c r="H730" s="2" t="str">
        <f t="shared" si="2"/>
        <v/>
      </c>
    </row>
    <row r="731" outlineLevel="1">
      <c r="A731" s="2"/>
      <c r="C731" s="2"/>
      <c r="G731" s="1" t="str">
        <f t="shared" si="1"/>
        <v/>
      </c>
      <c r="H731" s="2" t="str">
        <f t="shared" si="2"/>
        <v/>
      </c>
    </row>
    <row r="732" outlineLevel="1">
      <c r="A732" s="2"/>
      <c r="C732" s="2"/>
      <c r="G732" s="1" t="str">
        <f t="shared" si="1"/>
        <v/>
      </c>
      <c r="H732" s="2" t="str">
        <f t="shared" si="2"/>
        <v/>
      </c>
    </row>
    <row r="733" outlineLevel="1">
      <c r="A733" s="2"/>
      <c r="C733" s="2"/>
      <c r="G733" s="1" t="str">
        <f t="shared" si="1"/>
        <v/>
      </c>
      <c r="H733" s="2" t="str">
        <f t="shared" si="2"/>
        <v/>
      </c>
    </row>
    <row r="734" outlineLevel="1">
      <c r="A734" s="2"/>
      <c r="C734" s="2"/>
      <c r="G734" s="1" t="str">
        <f t="shared" si="1"/>
        <v/>
      </c>
      <c r="H734" s="2" t="str">
        <f t="shared" si="2"/>
        <v/>
      </c>
    </row>
    <row r="735" outlineLevel="1">
      <c r="A735" s="2"/>
      <c r="C735" s="2"/>
      <c r="G735" s="1" t="str">
        <f t="shared" si="1"/>
        <v/>
      </c>
      <c r="H735" s="2" t="str">
        <f t="shared" si="2"/>
        <v/>
      </c>
    </row>
    <row r="736" outlineLevel="1">
      <c r="A736" s="2"/>
      <c r="C736" s="2"/>
      <c r="G736" s="1" t="str">
        <f t="shared" si="1"/>
        <v/>
      </c>
      <c r="H736" s="2" t="str">
        <f t="shared" si="2"/>
        <v/>
      </c>
    </row>
    <row r="737" outlineLevel="1">
      <c r="A737" s="2"/>
      <c r="C737" s="2"/>
      <c r="G737" s="1" t="str">
        <f t="shared" si="1"/>
        <v/>
      </c>
      <c r="H737" s="2" t="str">
        <f t="shared" si="2"/>
        <v/>
      </c>
    </row>
    <row r="738" outlineLevel="1">
      <c r="A738" s="2"/>
      <c r="C738" s="2"/>
      <c r="G738" s="1" t="str">
        <f t="shared" si="1"/>
        <v/>
      </c>
      <c r="H738" s="2" t="str">
        <f t="shared" si="2"/>
        <v/>
      </c>
    </row>
    <row r="739" outlineLevel="1">
      <c r="A739" s="2"/>
      <c r="C739" s="2"/>
      <c r="G739" s="1" t="str">
        <f t="shared" si="1"/>
        <v/>
      </c>
      <c r="H739" s="2" t="str">
        <f t="shared" si="2"/>
        <v/>
      </c>
    </row>
    <row r="740" outlineLevel="1">
      <c r="A740" s="2"/>
      <c r="C740" s="2"/>
      <c r="G740" s="1" t="str">
        <f t="shared" si="1"/>
        <v/>
      </c>
      <c r="H740" s="2" t="str">
        <f t="shared" si="2"/>
        <v/>
      </c>
    </row>
    <row r="741" outlineLevel="1">
      <c r="A741" s="2"/>
      <c r="C741" s="2"/>
      <c r="G741" s="1" t="str">
        <f t="shared" si="1"/>
        <v/>
      </c>
      <c r="H741" s="2" t="str">
        <f t="shared" si="2"/>
        <v/>
      </c>
    </row>
    <row r="742" outlineLevel="1">
      <c r="A742" s="2"/>
      <c r="C742" s="2"/>
      <c r="G742" s="1" t="str">
        <f t="shared" si="1"/>
        <v/>
      </c>
      <c r="H742" s="2" t="str">
        <f t="shared" si="2"/>
        <v/>
      </c>
    </row>
    <row r="743" outlineLevel="1">
      <c r="A743" s="2"/>
      <c r="C743" s="2"/>
      <c r="G743" s="1" t="str">
        <f t="shared" si="1"/>
        <v/>
      </c>
      <c r="H743" s="2" t="str">
        <f t="shared" si="2"/>
        <v/>
      </c>
    </row>
    <row r="744" outlineLevel="1">
      <c r="A744" s="2"/>
      <c r="C744" s="2"/>
      <c r="G744" s="1" t="str">
        <f t="shared" si="1"/>
        <v/>
      </c>
      <c r="H744" s="2" t="str">
        <f t="shared" si="2"/>
        <v/>
      </c>
    </row>
    <row r="745" outlineLevel="1">
      <c r="A745" s="2"/>
      <c r="C745" s="2"/>
      <c r="G745" s="1" t="str">
        <f t="shared" si="1"/>
        <v/>
      </c>
      <c r="H745" s="2" t="str">
        <f t="shared" si="2"/>
        <v/>
      </c>
    </row>
    <row r="746" outlineLevel="1">
      <c r="A746" s="2"/>
      <c r="C746" s="2"/>
      <c r="G746" s="1" t="str">
        <f t="shared" si="1"/>
        <v/>
      </c>
      <c r="H746" s="2" t="str">
        <f t="shared" si="2"/>
        <v/>
      </c>
    </row>
    <row r="747" outlineLevel="1">
      <c r="A747" s="2"/>
      <c r="C747" s="2"/>
      <c r="G747" s="1" t="str">
        <f t="shared" si="1"/>
        <v/>
      </c>
      <c r="H747" s="2" t="str">
        <f t="shared" si="2"/>
        <v/>
      </c>
    </row>
    <row r="748" outlineLevel="1">
      <c r="A748" s="2"/>
      <c r="C748" s="2"/>
      <c r="G748" s="1" t="str">
        <f t="shared" si="1"/>
        <v/>
      </c>
      <c r="H748" s="2" t="str">
        <f t="shared" si="2"/>
        <v/>
      </c>
    </row>
    <row r="749" outlineLevel="1">
      <c r="A749" s="2"/>
      <c r="C749" s="2"/>
      <c r="G749" s="1" t="str">
        <f t="shared" si="1"/>
        <v/>
      </c>
      <c r="H749" s="2" t="str">
        <f t="shared" si="2"/>
        <v/>
      </c>
    </row>
    <row r="750" outlineLevel="1">
      <c r="A750" s="2"/>
      <c r="C750" s="2"/>
      <c r="G750" s="1" t="str">
        <f t="shared" si="1"/>
        <v/>
      </c>
      <c r="H750" s="2" t="str">
        <f t="shared" si="2"/>
        <v/>
      </c>
    </row>
    <row r="751" outlineLevel="1">
      <c r="A751" s="2"/>
      <c r="C751" s="2"/>
      <c r="G751" s="1" t="str">
        <f t="shared" si="1"/>
        <v/>
      </c>
      <c r="H751" s="2" t="str">
        <f t="shared" si="2"/>
        <v/>
      </c>
    </row>
    <row r="752" outlineLevel="1">
      <c r="A752" s="2"/>
      <c r="C752" s="2"/>
      <c r="G752" s="1" t="str">
        <f t="shared" si="1"/>
        <v/>
      </c>
      <c r="H752" s="2" t="str">
        <f t="shared" si="2"/>
        <v/>
      </c>
    </row>
    <row r="753" outlineLevel="1">
      <c r="A753" s="2"/>
      <c r="C753" s="2"/>
      <c r="G753" s="1" t="str">
        <f t="shared" si="1"/>
        <v/>
      </c>
      <c r="H753" s="2" t="str">
        <f t="shared" si="2"/>
        <v/>
      </c>
    </row>
    <row r="754" outlineLevel="1">
      <c r="A754" s="2"/>
      <c r="C754" s="2"/>
      <c r="G754" s="1" t="str">
        <f t="shared" si="1"/>
        <v/>
      </c>
      <c r="H754" s="2" t="str">
        <f t="shared" si="2"/>
        <v/>
      </c>
    </row>
    <row r="755" outlineLevel="1">
      <c r="A755" s="2"/>
      <c r="C755" s="2"/>
      <c r="G755" s="1" t="str">
        <f t="shared" si="1"/>
        <v/>
      </c>
      <c r="H755" s="2" t="str">
        <f t="shared" si="2"/>
        <v/>
      </c>
    </row>
    <row r="756" outlineLevel="1">
      <c r="A756" s="2"/>
      <c r="C756" s="2"/>
      <c r="G756" s="1" t="str">
        <f t="shared" si="1"/>
        <v/>
      </c>
      <c r="H756" s="2" t="str">
        <f t="shared" si="2"/>
        <v/>
      </c>
    </row>
    <row r="757" outlineLevel="1">
      <c r="A757" s="2"/>
      <c r="C757" s="2"/>
      <c r="G757" s="1" t="str">
        <f t="shared" si="1"/>
        <v/>
      </c>
      <c r="H757" s="2" t="str">
        <f t="shared" si="2"/>
        <v/>
      </c>
    </row>
    <row r="758" outlineLevel="1">
      <c r="A758" s="2"/>
      <c r="C758" s="2"/>
      <c r="G758" s="1" t="str">
        <f t="shared" si="1"/>
        <v/>
      </c>
      <c r="H758" s="2" t="str">
        <f t="shared" si="2"/>
        <v/>
      </c>
    </row>
    <row r="759" outlineLevel="1">
      <c r="A759" s="2"/>
      <c r="C759" s="2"/>
      <c r="G759" s="1" t="str">
        <f t="shared" si="1"/>
        <v/>
      </c>
      <c r="H759" s="2" t="str">
        <f t="shared" si="2"/>
        <v/>
      </c>
    </row>
    <row r="760" outlineLevel="1">
      <c r="A760" s="2"/>
      <c r="C760" s="2"/>
      <c r="G760" s="1" t="str">
        <f t="shared" si="1"/>
        <v/>
      </c>
      <c r="H760" s="2" t="str">
        <f t="shared" si="2"/>
        <v/>
      </c>
    </row>
    <row r="761" outlineLevel="1">
      <c r="A761" s="2"/>
      <c r="C761" s="2"/>
      <c r="G761" s="1" t="str">
        <f t="shared" si="1"/>
        <v/>
      </c>
      <c r="H761" s="2" t="str">
        <f t="shared" si="2"/>
        <v/>
      </c>
    </row>
    <row r="762" outlineLevel="1">
      <c r="A762" s="2"/>
      <c r="C762" s="2"/>
      <c r="G762" s="1" t="str">
        <f t="shared" si="1"/>
        <v/>
      </c>
      <c r="H762" s="2" t="str">
        <f t="shared" si="2"/>
        <v/>
      </c>
    </row>
    <row r="763" outlineLevel="1">
      <c r="A763" s="2"/>
      <c r="C763" s="2"/>
      <c r="G763" s="1" t="str">
        <f t="shared" si="1"/>
        <v/>
      </c>
      <c r="H763" s="2" t="str">
        <f t="shared" si="2"/>
        <v/>
      </c>
    </row>
    <row r="764" outlineLevel="1">
      <c r="A764" s="2"/>
      <c r="C764" s="2"/>
      <c r="G764" s="1" t="str">
        <f t="shared" si="1"/>
        <v/>
      </c>
      <c r="H764" s="2" t="str">
        <f t="shared" si="2"/>
        <v/>
      </c>
    </row>
    <row r="765" outlineLevel="1">
      <c r="A765" s="2"/>
      <c r="C765" s="2"/>
      <c r="G765" s="1" t="str">
        <f t="shared" si="1"/>
        <v/>
      </c>
      <c r="H765" s="2" t="str">
        <f t="shared" si="2"/>
        <v/>
      </c>
    </row>
    <row r="766" outlineLevel="1">
      <c r="A766" s="2"/>
      <c r="C766" s="2"/>
      <c r="G766" s="1" t="str">
        <f t="shared" si="1"/>
        <v/>
      </c>
      <c r="H766" s="2" t="str">
        <f t="shared" si="2"/>
        <v/>
      </c>
    </row>
    <row r="767" outlineLevel="1">
      <c r="A767" s="2"/>
      <c r="C767" s="2"/>
      <c r="G767" s="1" t="str">
        <f t="shared" si="1"/>
        <v/>
      </c>
      <c r="H767" s="2" t="str">
        <f t="shared" si="2"/>
        <v/>
      </c>
    </row>
    <row r="768" outlineLevel="1">
      <c r="A768" s="2"/>
      <c r="C768" s="2"/>
      <c r="G768" s="1" t="str">
        <f t="shared" si="1"/>
        <v/>
      </c>
      <c r="H768" s="2" t="str">
        <f t="shared" si="2"/>
        <v/>
      </c>
    </row>
    <row r="769" outlineLevel="1">
      <c r="A769" s="2"/>
      <c r="C769" s="2"/>
      <c r="G769" s="1" t="str">
        <f t="shared" si="1"/>
        <v/>
      </c>
      <c r="H769" s="2" t="str">
        <f t="shared" si="2"/>
        <v/>
      </c>
    </row>
    <row r="770" outlineLevel="1">
      <c r="A770" s="2"/>
      <c r="C770" s="2"/>
      <c r="G770" s="1" t="str">
        <f t="shared" si="1"/>
        <v/>
      </c>
      <c r="H770" s="2" t="str">
        <f t="shared" si="2"/>
        <v/>
      </c>
    </row>
    <row r="771" outlineLevel="1">
      <c r="A771" s="2"/>
      <c r="C771" s="2"/>
      <c r="G771" s="1" t="str">
        <f t="shared" si="1"/>
        <v/>
      </c>
      <c r="H771" s="2" t="str">
        <f t="shared" si="2"/>
        <v/>
      </c>
    </row>
    <row r="772" outlineLevel="1">
      <c r="A772" s="2"/>
      <c r="C772" s="2"/>
      <c r="G772" s="1" t="str">
        <f t="shared" si="1"/>
        <v/>
      </c>
      <c r="H772" s="2" t="str">
        <f t="shared" si="2"/>
        <v/>
      </c>
    </row>
    <row r="773" outlineLevel="1">
      <c r="A773" s="2"/>
      <c r="C773" s="2"/>
      <c r="G773" s="1" t="str">
        <f t="shared" si="1"/>
        <v/>
      </c>
      <c r="H773" s="2" t="str">
        <f t="shared" si="2"/>
        <v/>
      </c>
    </row>
    <row r="774" outlineLevel="1">
      <c r="A774" s="2"/>
      <c r="C774" s="2"/>
      <c r="G774" s="1" t="str">
        <f t="shared" si="1"/>
        <v/>
      </c>
      <c r="H774" s="2" t="str">
        <f t="shared" si="2"/>
        <v/>
      </c>
    </row>
    <row r="775" outlineLevel="1">
      <c r="A775" s="2"/>
      <c r="C775" s="2"/>
      <c r="G775" s="1" t="str">
        <f t="shared" si="1"/>
        <v/>
      </c>
      <c r="H775" s="2" t="str">
        <f t="shared" si="2"/>
        <v/>
      </c>
    </row>
    <row r="776" outlineLevel="1">
      <c r="A776" s="2"/>
      <c r="C776" s="2"/>
      <c r="G776" s="1" t="str">
        <f t="shared" si="1"/>
        <v/>
      </c>
      <c r="H776" s="2" t="str">
        <f t="shared" si="2"/>
        <v/>
      </c>
    </row>
    <row r="777" outlineLevel="1">
      <c r="A777" s="2"/>
      <c r="C777" s="2"/>
      <c r="G777" s="1" t="str">
        <f t="shared" si="1"/>
        <v/>
      </c>
      <c r="H777" s="2" t="str">
        <f t="shared" si="2"/>
        <v/>
      </c>
    </row>
    <row r="778" outlineLevel="1">
      <c r="A778" s="2"/>
      <c r="C778" s="2"/>
      <c r="G778" s="1" t="str">
        <f t="shared" si="1"/>
        <v/>
      </c>
      <c r="H778" s="2" t="str">
        <f t="shared" si="2"/>
        <v/>
      </c>
    </row>
    <row r="779" outlineLevel="1">
      <c r="A779" s="2"/>
      <c r="C779" s="2"/>
      <c r="G779" s="1" t="str">
        <f t="shared" si="1"/>
        <v/>
      </c>
      <c r="H779" s="2" t="str">
        <f t="shared" si="2"/>
        <v/>
      </c>
    </row>
    <row r="780" outlineLevel="1">
      <c r="A780" s="2"/>
      <c r="C780" s="2"/>
      <c r="G780" s="1" t="str">
        <f t="shared" si="1"/>
        <v/>
      </c>
      <c r="H780" s="2" t="str">
        <f t="shared" si="2"/>
        <v/>
      </c>
    </row>
    <row r="781" outlineLevel="1">
      <c r="A781" s="2"/>
      <c r="C781" s="2"/>
      <c r="G781" s="1" t="str">
        <f t="shared" si="1"/>
        <v/>
      </c>
      <c r="H781" s="2" t="str">
        <f t="shared" si="2"/>
        <v/>
      </c>
    </row>
    <row r="782" outlineLevel="1">
      <c r="A782" s="2"/>
      <c r="C782" s="2"/>
      <c r="G782" s="1" t="str">
        <f t="shared" si="1"/>
        <v/>
      </c>
      <c r="H782" s="2" t="str">
        <f t="shared" si="2"/>
        <v/>
      </c>
    </row>
    <row r="783" outlineLevel="1">
      <c r="A783" s="2"/>
      <c r="C783" s="2"/>
      <c r="G783" s="1" t="str">
        <f t="shared" si="1"/>
        <v/>
      </c>
      <c r="H783" s="2" t="str">
        <f t="shared" si="2"/>
        <v/>
      </c>
    </row>
    <row r="784" outlineLevel="1">
      <c r="A784" s="2"/>
      <c r="C784" s="2"/>
      <c r="G784" s="1" t="str">
        <f t="shared" si="1"/>
        <v/>
      </c>
      <c r="H784" s="2" t="str">
        <f t="shared" si="2"/>
        <v/>
      </c>
    </row>
    <row r="785" outlineLevel="1">
      <c r="A785" s="2"/>
      <c r="C785" s="2"/>
      <c r="G785" s="1" t="str">
        <f t="shared" si="1"/>
        <v/>
      </c>
      <c r="H785" s="2" t="str">
        <f t="shared" si="2"/>
        <v/>
      </c>
    </row>
    <row r="786" outlineLevel="1">
      <c r="A786" s="2"/>
      <c r="C786" s="2"/>
      <c r="G786" s="1" t="str">
        <f t="shared" si="1"/>
        <v/>
      </c>
      <c r="H786" s="2" t="str">
        <f t="shared" si="2"/>
        <v/>
      </c>
    </row>
    <row r="787" outlineLevel="1">
      <c r="A787" s="2"/>
      <c r="C787" s="2"/>
      <c r="G787" s="1" t="str">
        <f t="shared" si="1"/>
        <v/>
      </c>
      <c r="H787" s="2" t="str">
        <f t="shared" si="2"/>
        <v/>
      </c>
    </row>
    <row r="788" outlineLevel="1">
      <c r="A788" s="2"/>
      <c r="C788" s="2"/>
      <c r="G788" s="1" t="str">
        <f t="shared" si="1"/>
        <v/>
      </c>
      <c r="H788" s="2" t="str">
        <f t="shared" si="2"/>
        <v/>
      </c>
    </row>
    <row r="789" outlineLevel="1">
      <c r="A789" s="2"/>
      <c r="C789" s="2"/>
      <c r="G789" s="1" t="str">
        <f t="shared" si="1"/>
        <v/>
      </c>
      <c r="H789" s="2" t="str">
        <f t="shared" si="2"/>
        <v/>
      </c>
    </row>
    <row r="790" outlineLevel="1">
      <c r="A790" s="2"/>
      <c r="C790" s="2"/>
      <c r="G790" s="1" t="str">
        <f t="shared" si="1"/>
        <v/>
      </c>
      <c r="H790" s="2" t="str">
        <f t="shared" si="2"/>
        <v/>
      </c>
    </row>
    <row r="791" outlineLevel="1">
      <c r="A791" s="2"/>
      <c r="C791" s="2"/>
      <c r="G791" s="1" t="str">
        <f t="shared" si="1"/>
        <v/>
      </c>
      <c r="H791" s="2" t="str">
        <f t="shared" si="2"/>
        <v/>
      </c>
    </row>
    <row r="792" outlineLevel="1">
      <c r="A792" s="2"/>
      <c r="C792" s="2"/>
      <c r="G792" s="1" t="str">
        <f t="shared" si="1"/>
        <v/>
      </c>
      <c r="H792" s="2" t="str">
        <f t="shared" si="2"/>
        <v/>
      </c>
    </row>
    <row r="793" outlineLevel="1">
      <c r="A793" s="2"/>
      <c r="C793" s="2"/>
      <c r="G793" s="1" t="str">
        <f t="shared" si="1"/>
        <v/>
      </c>
      <c r="H793" s="2" t="str">
        <f t="shared" si="2"/>
        <v/>
      </c>
    </row>
    <row r="794" outlineLevel="1">
      <c r="A794" s="2"/>
      <c r="C794" s="2"/>
      <c r="G794" s="1" t="str">
        <f t="shared" si="1"/>
        <v/>
      </c>
      <c r="H794" s="2" t="str">
        <f t="shared" si="2"/>
        <v/>
      </c>
    </row>
    <row r="795" outlineLevel="1">
      <c r="A795" s="2"/>
      <c r="C795" s="2"/>
      <c r="G795" s="1" t="str">
        <f t="shared" si="1"/>
        <v/>
      </c>
      <c r="H795" s="2" t="str">
        <f t="shared" si="2"/>
        <v/>
      </c>
    </row>
    <row r="796" outlineLevel="1">
      <c r="A796" s="2"/>
      <c r="C796" s="2"/>
      <c r="G796" s="1" t="str">
        <f t="shared" si="1"/>
        <v/>
      </c>
      <c r="H796" s="2" t="str">
        <f t="shared" si="2"/>
        <v/>
      </c>
    </row>
    <row r="797" outlineLevel="1">
      <c r="A797" s="2"/>
      <c r="C797" s="2"/>
      <c r="G797" s="1" t="str">
        <f t="shared" si="1"/>
        <v/>
      </c>
      <c r="H797" s="2" t="str">
        <f t="shared" si="2"/>
        <v/>
      </c>
    </row>
    <row r="798" outlineLevel="1">
      <c r="A798" s="2"/>
      <c r="C798" s="2"/>
      <c r="G798" s="1" t="str">
        <f t="shared" si="1"/>
        <v/>
      </c>
      <c r="H798" s="2" t="str">
        <f t="shared" si="2"/>
        <v/>
      </c>
    </row>
    <row r="799" outlineLevel="1">
      <c r="A799" s="2"/>
      <c r="C799" s="2"/>
      <c r="G799" s="1" t="str">
        <f t="shared" si="1"/>
        <v/>
      </c>
      <c r="H799" s="2" t="str">
        <f t="shared" si="2"/>
        <v/>
      </c>
    </row>
    <row r="800" outlineLevel="1">
      <c r="A800" s="2"/>
      <c r="C800" s="2"/>
      <c r="G800" s="1" t="str">
        <f t="shared" si="1"/>
        <v/>
      </c>
      <c r="H800" s="2" t="str">
        <f t="shared" si="2"/>
        <v/>
      </c>
    </row>
    <row r="801" outlineLevel="1">
      <c r="A801" s="2"/>
      <c r="C801" s="2"/>
      <c r="G801" s="1" t="str">
        <f t="shared" si="1"/>
        <v/>
      </c>
      <c r="H801" s="2" t="str">
        <f t="shared" si="2"/>
        <v/>
      </c>
    </row>
    <row r="802" outlineLevel="1">
      <c r="A802" s="2"/>
      <c r="C802" s="2"/>
      <c r="G802" s="1" t="str">
        <f t="shared" si="1"/>
        <v/>
      </c>
      <c r="H802" s="2" t="str">
        <f t="shared" si="2"/>
        <v/>
      </c>
    </row>
    <row r="803" outlineLevel="1">
      <c r="A803" s="2"/>
      <c r="C803" s="2"/>
      <c r="G803" s="1" t="str">
        <f t="shared" si="1"/>
        <v/>
      </c>
      <c r="H803" s="2" t="str">
        <f t="shared" si="2"/>
        <v/>
      </c>
    </row>
    <row r="804" outlineLevel="1">
      <c r="A804" s="2"/>
      <c r="C804" s="2"/>
      <c r="G804" s="1" t="str">
        <f t="shared" si="1"/>
        <v/>
      </c>
      <c r="H804" s="2" t="str">
        <f t="shared" si="2"/>
        <v/>
      </c>
    </row>
    <row r="805" outlineLevel="1">
      <c r="A805" s="2"/>
      <c r="C805" s="2"/>
      <c r="G805" s="1" t="str">
        <f t="shared" si="1"/>
        <v/>
      </c>
      <c r="H805" s="2" t="str">
        <f t="shared" si="2"/>
        <v/>
      </c>
    </row>
    <row r="806" outlineLevel="1">
      <c r="A806" s="2"/>
      <c r="C806" s="2"/>
      <c r="G806" s="1" t="str">
        <f t="shared" si="1"/>
        <v/>
      </c>
      <c r="H806" s="2" t="str">
        <f t="shared" si="2"/>
        <v/>
      </c>
    </row>
    <row r="807" outlineLevel="1">
      <c r="A807" s="2"/>
      <c r="C807" s="2"/>
      <c r="G807" s="1" t="str">
        <f t="shared" si="1"/>
        <v/>
      </c>
      <c r="H807" s="2" t="str">
        <f t="shared" si="2"/>
        <v/>
      </c>
    </row>
    <row r="808" outlineLevel="1">
      <c r="A808" s="2"/>
      <c r="C808" s="2"/>
      <c r="G808" s="1" t="str">
        <f t="shared" si="1"/>
        <v/>
      </c>
      <c r="H808" s="2" t="str">
        <f t="shared" si="2"/>
        <v/>
      </c>
    </row>
    <row r="809" outlineLevel="1">
      <c r="A809" s="2"/>
      <c r="C809" s="2"/>
      <c r="G809" s="1" t="str">
        <f t="shared" si="1"/>
        <v/>
      </c>
      <c r="H809" s="2" t="str">
        <f t="shared" si="2"/>
        <v/>
      </c>
    </row>
    <row r="810" outlineLevel="1">
      <c r="A810" s="2"/>
      <c r="C810" s="2"/>
      <c r="G810" s="1" t="str">
        <f t="shared" si="1"/>
        <v/>
      </c>
      <c r="H810" s="2" t="str">
        <f t="shared" si="2"/>
        <v/>
      </c>
    </row>
    <row r="811" outlineLevel="1">
      <c r="A811" s="2"/>
      <c r="C811" s="2"/>
      <c r="G811" s="1" t="str">
        <f t="shared" si="1"/>
        <v/>
      </c>
      <c r="H811" s="2" t="str">
        <f t="shared" si="2"/>
        <v/>
      </c>
    </row>
    <row r="812" outlineLevel="1">
      <c r="A812" s="2"/>
      <c r="C812" s="2"/>
      <c r="G812" s="1" t="str">
        <f t="shared" si="1"/>
        <v/>
      </c>
      <c r="H812" s="2" t="str">
        <f t="shared" si="2"/>
        <v/>
      </c>
    </row>
    <row r="813" outlineLevel="1">
      <c r="A813" s="2"/>
      <c r="C813" s="2"/>
      <c r="G813" s="1" t="str">
        <f t="shared" si="1"/>
        <v/>
      </c>
      <c r="H813" s="2" t="str">
        <f t="shared" si="2"/>
        <v/>
      </c>
    </row>
    <row r="814" outlineLevel="1">
      <c r="A814" s="2"/>
      <c r="C814" s="2"/>
      <c r="G814" s="1" t="str">
        <f t="shared" si="1"/>
        <v/>
      </c>
      <c r="H814" s="2" t="str">
        <f t="shared" si="2"/>
        <v/>
      </c>
    </row>
    <row r="815" outlineLevel="1">
      <c r="A815" s="2"/>
      <c r="C815" s="2"/>
      <c r="G815" s="1" t="str">
        <f t="shared" si="1"/>
        <v/>
      </c>
      <c r="H815" s="2" t="str">
        <f t="shared" si="2"/>
        <v/>
      </c>
    </row>
    <row r="816" outlineLevel="1">
      <c r="A816" s="2"/>
      <c r="C816" s="2"/>
      <c r="G816" s="1" t="str">
        <f t="shared" si="1"/>
        <v/>
      </c>
      <c r="H816" s="2" t="str">
        <f t="shared" si="2"/>
        <v/>
      </c>
    </row>
    <row r="817" outlineLevel="1">
      <c r="A817" s="2"/>
      <c r="C817" s="2"/>
      <c r="G817" s="1" t="str">
        <f t="shared" si="1"/>
        <v/>
      </c>
      <c r="H817" s="2" t="str">
        <f t="shared" si="2"/>
        <v/>
      </c>
    </row>
    <row r="818" outlineLevel="1">
      <c r="A818" s="2"/>
      <c r="C818" s="2"/>
      <c r="G818" s="1" t="str">
        <f t="shared" si="1"/>
        <v/>
      </c>
      <c r="H818" s="2" t="str">
        <f t="shared" si="2"/>
        <v/>
      </c>
    </row>
    <row r="819" outlineLevel="1">
      <c r="A819" s="2"/>
      <c r="C819" s="2"/>
      <c r="G819" s="1" t="str">
        <f t="shared" si="1"/>
        <v/>
      </c>
      <c r="H819" s="2" t="str">
        <f t="shared" si="2"/>
        <v/>
      </c>
    </row>
    <row r="820" outlineLevel="1">
      <c r="A820" s="2"/>
      <c r="C820" s="2"/>
      <c r="G820" s="1" t="str">
        <f t="shared" si="1"/>
        <v/>
      </c>
      <c r="H820" s="2" t="str">
        <f t="shared" si="2"/>
        <v/>
      </c>
    </row>
    <row r="821" outlineLevel="1">
      <c r="A821" s="2"/>
      <c r="C821" s="2"/>
      <c r="G821" s="1" t="str">
        <f t="shared" si="1"/>
        <v/>
      </c>
      <c r="H821" s="2" t="str">
        <f t="shared" si="2"/>
        <v/>
      </c>
    </row>
    <row r="822" outlineLevel="1">
      <c r="A822" s="2"/>
      <c r="C822" s="2"/>
      <c r="G822" s="1" t="str">
        <f t="shared" si="1"/>
        <v/>
      </c>
      <c r="H822" s="2" t="str">
        <f t="shared" si="2"/>
        <v/>
      </c>
    </row>
    <row r="823" outlineLevel="1">
      <c r="A823" s="2"/>
      <c r="C823" s="2"/>
      <c r="G823" s="1" t="str">
        <f t="shared" si="1"/>
        <v/>
      </c>
      <c r="H823" s="2" t="str">
        <f t="shared" si="2"/>
        <v/>
      </c>
    </row>
    <row r="824" outlineLevel="1">
      <c r="A824" s="2"/>
      <c r="C824" s="2"/>
      <c r="G824" s="1" t="str">
        <f t="shared" si="1"/>
        <v/>
      </c>
      <c r="H824" s="2" t="str">
        <f t="shared" si="2"/>
        <v/>
      </c>
    </row>
    <row r="825" outlineLevel="1">
      <c r="A825" s="2"/>
      <c r="C825" s="2"/>
      <c r="G825" s="1" t="str">
        <f t="shared" si="1"/>
        <v/>
      </c>
      <c r="H825" s="2" t="str">
        <f t="shared" si="2"/>
        <v/>
      </c>
    </row>
    <row r="826" outlineLevel="1">
      <c r="A826" s="2"/>
      <c r="C826" s="2"/>
      <c r="G826" s="1" t="str">
        <f t="shared" si="1"/>
        <v/>
      </c>
      <c r="H826" s="2" t="str">
        <f t="shared" si="2"/>
        <v/>
      </c>
    </row>
    <row r="827" outlineLevel="1">
      <c r="A827" s="2"/>
      <c r="C827" s="2"/>
      <c r="G827" s="1" t="str">
        <f t="shared" si="1"/>
        <v/>
      </c>
      <c r="H827" s="2" t="str">
        <f t="shared" si="2"/>
        <v/>
      </c>
    </row>
    <row r="828" outlineLevel="1">
      <c r="A828" s="2"/>
      <c r="C828" s="2"/>
      <c r="G828" s="1" t="str">
        <f t="shared" si="1"/>
        <v/>
      </c>
      <c r="H828" s="2" t="str">
        <f t="shared" si="2"/>
        <v/>
      </c>
    </row>
    <row r="829" outlineLevel="1">
      <c r="A829" s="2"/>
      <c r="C829" s="2"/>
      <c r="G829" s="1" t="str">
        <f t="shared" si="1"/>
        <v/>
      </c>
      <c r="H829" s="2" t="str">
        <f t="shared" si="2"/>
        <v/>
      </c>
    </row>
    <row r="830" outlineLevel="1">
      <c r="A830" s="2"/>
      <c r="C830" s="2"/>
      <c r="G830" s="1" t="str">
        <f t="shared" si="1"/>
        <v/>
      </c>
      <c r="H830" s="2" t="str">
        <f t="shared" si="2"/>
        <v/>
      </c>
    </row>
    <row r="831" outlineLevel="1">
      <c r="A831" s="2"/>
      <c r="C831" s="2"/>
      <c r="G831" s="1" t="str">
        <f t="shared" si="1"/>
        <v/>
      </c>
      <c r="H831" s="2" t="str">
        <f t="shared" si="2"/>
        <v/>
      </c>
    </row>
    <row r="832" outlineLevel="1">
      <c r="A832" s="2"/>
      <c r="C832" s="2"/>
      <c r="G832" s="1" t="str">
        <f t="shared" si="1"/>
        <v/>
      </c>
      <c r="H832" s="2" t="str">
        <f t="shared" si="2"/>
        <v/>
      </c>
    </row>
    <row r="833" outlineLevel="1">
      <c r="A833" s="2"/>
      <c r="C833" s="2"/>
      <c r="G833" s="1" t="str">
        <f t="shared" si="1"/>
        <v/>
      </c>
      <c r="H833" s="2" t="str">
        <f t="shared" si="2"/>
        <v/>
      </c>
    </row>
    <row r="834" outlineLevel="1">
      <c r="A834" s="2"/>
      <c r="C834" s="2"/>
      <c r="G834" s="1" t="str">
        <f t="shared" si="1"/>
        <v/>
      </c>
      <c r="H834" s="2" t="str">
        <f t="shared" si="2"/>
        <v/>
      </c>
    </row>
    <row r="835" outlineLevel="1">
      <c r="A835" s="2"/>
      <c r="C835" s="2"/>
      <c r="G835" s="1" t="str">
        <f t="shared" si="1"/>
        <v/>
      </c>
      <c r="H835" s="2" t="str">
        <f t="shared" si="2"/>
        <v/>
      </c>
    </row>
    <row r="836" outlineLevel="1">
      <c r="A836" s="2"/>
      <c r="C836" s="2"/>
      <c r="G836" s="1" t="str">
        <f t="shared" si="1"/>
        <v/>
      </c>
      <c r="H836" s="2" t="str">
        <f t="shared" si="2"/>
        <v/>
      </c>
    </row>
    <row r="837" outlineLevel="1">
      <c r="A837" s="2"/>
      <c r="C837" s="2"/>
      <c r="G837" s="1" t="str">
        <f t="shared" si="1"/>
        <v/>
      </c>
      <c r="H837" s="2" t="str">
        <f t="shared" si="2"/>
        <v/>
      </c>
    </row>
    <row r="838" outlineLevel="1">
      <c r="A838" s="2"/>
      <c r="C838" s="2"/>
      <c r="G838" s="1" t="str">
        <f t="shared" si="1"/>
        <v/>
      </c>
      <c r="H838" s="2" t="str">
        <f t="shared" si="2"/>
        <v/>
      </c>
    </row>
    <row r="839" outlineLevel="1">
      <c r="A839" s="2"/>
      <c r="C839" s="2"/>
      <c r="G839" s="1" t="str">
        <f t="shared" si="1"/>
        <v/>
      </c>
      <c r="H839" s="2" t="str">
        <f t="shared" si="2"/>
        <v/>
      </c>
    </row>
    <row r="840" outlineLevel="1">
      <c r="A840" s="2"/>
      <c r="C840" s="2"/>
      <c r="G840" s="1" t="str">
        <f t="shared" si="1"/>
        <v/>
      </c>
      <c r="H840" s="2" t="str">
        <f t="shared" si="2"/>
        <v/>
      </c>
    </row>
    <row r="841" outlineLevel="1">
      <c r="A841" s="2"/>
      <c r="C841" s="2"/>
      <c r="G841" s="1" t="str">
        <f t="shared" si="1"/>
        <v/>
      </c>
      <c r="H841" s="2" t="str">
        <f t="shared" si="2"/>
        <v/>
      </c>
    </row>
    <row r="842" outlineLevel="1">
      <c r="A842" s="2"/>
      <c r="C842" s="2"/>
      <c r="G842" s="1" t="str">
        <f t="shared" si="1"/>
        <v/>
      </c>
      <c r="H842" s="2" t="str">
        <f t="shared" si="2"/>
        <v/>
      </c>
    </row>
    <row r="843" outlineLevel="1">
      <c r="A843" s="2"/>
      <c r="C843" s="2"/>
      <c r="G843" s="1" t="str">
        <f t="shared" si="1"/>
        <v/>
      </c>
      <c r="H843" s="2" t="str">
        <f t="shared" si="2"/>
        <v/>
      </c>
    </row>
    <row r="844" outlineLevel="1">
      <c r="A844" s="2"/>
      <c r="C844" s="2"/>
      <c r="G844" s="1" t="str">
        <f t="shared" si="1"/>
        <v/>
      </c>
      <c r="H844" s="2" t="str">
        <f t="shared" si="2"/>
        <v/>
      </c>
    </row>
    <row r="845" outlineLevel="1">
      <c r="A845" s="2"/>
      <c r="C845" s="2"/>
      <c r="G845" s="1" t="str">
        <f t="shared" si="1"/>
        <v/>
      </c>
      <c r="H845" s="2" t="str">
        <f t="shared" si="2"/>
        <v/>
      </c>
    </row>
    <row r="846" outlineLevel="1">
      <c r="A846" s="2"/>
      <c r="C846" s="2"/>
      <c r="G846" s="1" t="str">
        <f t="shared" si="1"/>
        <v/>
      </c>
      <c r="H846" s="2" t="str">
        <f t="shared" si="2"/>
        <v/>
      </c>
    </row>
    <row r="847" outlineLevel="1">
      <c r="A847" s="2"/>
      <c r="C847" s="2"/>
      <c r="G847" s="1" t="str">
        <f t="shared" si="1"/>
        <v/>
      </c>
      <c r="H847" s="2" t="str">
        <f t="shared" si="2"/>
        <v/>
      </c>
    </row>
    <row r="848" outlineLevel="1">
      <c r="A848" s="2"/>
      <c r="C848" s="2"/>
      <c r="G848" s="1" t="str">
        <f t="shared" si="1"/>
        <v/>
      </c>
      <c r="H848" s="2" t="str">
        <f t="shared" si="2"/>
        <v/>
      </c>
    </row>
    <row r="849" outlineLevel="1">
      <c r="A849" s="2"/>
      <c r="C849" s="2"/>
      <c r="G849" s="1" t="str">
        <f t="shared" si="1"/>
        <v/>
      </c>
      <c r="H849" s="2" t="str">
        <f t="shared" si="2"/>
        <v/>
      </c>
    </row>
    <row r="850" outlineLevel="1">
      <c r="A850" s="2"/>
      <c r="C850" s="2"/>
      <c r="G850" s="1" t="str">
        <f t="shared" si="1"/>
        <v/>
      </c>
      <c r="H850" s="2" t="str">
        <f t="shared" si="2"/>
        <v/>
      </c>
    </row>
    <row r="851" outlineLevel="1">
      <c r="A851" s="2"/>
      <c r="C851" s="2"/>
      <c r="G851" s="1" t="str">
        <f t="shared" si="1"/>
        <v/>
      </c>
      <c r="H851" s="2" t="str">
        <f t="shared" si="2"/>
        <v/>
      </c>
    </row>
    <row r="852" outlineLevel="1">
      <c r="A852" s="2"/>
      <c r="C852" s="2"/>
      <c r="G852" s="1" t="str">
        <f t="shared" si="1"/>
        <v/>
      </c>
      <c r="H852" s="2" t="str">
        <f t="shared" si="2"/>
        <v/>
      </c>
    </row>
    <row r="853" outlineLevel="1">
      <c r="A853" s="2"/>
      <c r="C853" s="2"/>
      <c r="G853" s="1" t="str">
        <f t="shared" si="1"/>
        <v/>
      </c>
      <c r="H853" s="2" t="str">
        <f t="shared" si="2"/>
        <v/>
      </c>
    </row>
    <row r="854" outlineLevel="1">
      <c r="A854" s="2"/>
      <c r="C854" s="2"/>
      <c r="G854" s="1" t="str">
        <f t="shared" si="1"/>
        <v/>
      </c>
      <c r="H854" s="2" t="str">
        <f t="shared" si="2"/>
        <v/>
      </c>
    </row>
    <row r="855" outlineLevel="1">
      <c r="A855" s="2"/>
      <c r="C855" s="2"/>
      <c r="G855" s="1" t="str">
        <f t="shared" si="1"/>
        <v/>
      </c>
      <c r="H855" s="2" t="str">
        <f t="shared" si="2"/>
        <v/>
      </c>
    </row>
    <row r="856" outlineLevel="1">
      <c r="A856" s="2"/>
      <c r="C856" s="2"/>
      <c r="G856" s="1" t="str">
        <f t="shared" si="1"/>
        <v/>
      </c>
      <c r="H856" s="2" t="str">
        <f t="shared" si="2"/>
        <v/>
      </c>
    </row>
    <row r="857" outlineLevel="1">
      <c r="A857" s="2"/>
      <c r="C857" s="2"/>
      <c r="G857" s="1" t="str">
        <f t="shared" si="1"/>
        <v/>
      </c>
      <c r="H857" s="2" t="str">
        <f t="shared" si="2"/>
        <v/>
      </c>
    </row>
    <row r="858" outlineLevel="1">
      <c r="A858" s="2"/>
      <c r="C858" s="2"/>
      <c r="G858" s="1" t="str">
        <f t="shared" si="1"/>
        <v/>
      </c>
      <c r="H858" s="2" t="str">
        <f t="shared" si="2"/>
        <v/>
      </c>
    </row>
    <row r="859" outlineLevel="1">
      <c r="A859" s="2"/>
      <c r="C859" s="2"/>
      <c r="G859" s="1" t="str">
        <f t="shared" si="1"/>
        <v/>
      </c>
      <c r="H859" s="2" t="str">
        <f t="shared" si="2"/>
        <v/>
      </c>
    </row>
    <row r="860" outlineLevel="1">
      <c r="A860" s="2"/>
      <c r="C860" s="2"/>
      <c r="G860" s="1" t="str">
        <f t="shared" si="1"/>
        <v/>
      </c>
      <c r="H860" s="2" t="str">
        <f t="shared" si="2"/>
        <v/>
      </c>
    </row>
    <row r="861" outlineLevel="1">
      <c r="A861" s="2"/>
      <c r="C861" s="2"/>
      <c r="G861" s="1" t="str">
        <f t="shared" si="1"/>
        <v/>
      </c>
      <c r="H861" s="2" t="str">
        <f t="shared" si="2"/>
        <v/>
      </c>
    </row>
    <row r="862" outlineLevel="1">
      <c r="A862" s="2"/>
      <c r="C862" s="2"/>
      <c r="G862" s="1" t="str">
        <f t="shared" si="1"/>
        <v/>
      </c>
      <c r="H862" s="2" t="str">
        <f t="shared" si="2"/>
        <v/>
      </c>
    </row>
    <row r="863" outlineLevel="1">
      <c r="A863" s="2"/>
      <c r="C863" s="2"/>
      <c r="G863" s="1" t="str">
        <f t="shared" si="1"/>
        <v/>
      </c>
      <c r="H863" s="2" t="str">
        <f t="shared" si="2"/>
        <v/>
      </c>
    </row>
    <row r="864" outlineLevel="1">
      <c r="A864" s="2"/>
      <c r="C864" s="2"/>
      <c r="G864" s="1" t="str">
        <f t="shared" si="1"/>
        <v/>
      </c>
      <c r="H864" s="2" t="str">
        <f t="shared" si="2"/>
        <v/>
      </c>
    </row>
    <row r="865" outlineLevel="1">
      <c r="A865" s="2"/>
      <c r="C865" s="2"/>
      <c r="G865" s="1" t="str">
        <f t="shared" si="1"/>
        <v/>
      </c>
      <c r="H865" s="2" t="str">
        <f t="shared" si="2"/>
        <v/>
      </c>
    </row>
    <row r="866" outlineLevel="1">
      <c r="A866" s="2"/>
      <c r="C866" s="2"/>
      <c r="G866" s="1" t="str">
        <f t="shared" si="1"/>
        <v/>
      </c>
      <c r="H866" s="2" t="str">
        <f t="shared" si="2"/>
        <v/>
      </c>
    </row>
    <row r="867" outlineLevel="1">
      <c r="A867" s="2"/>
      <c r="C867" s="2"/>
      <c r="G867" s="1" t="str">
        <f t="shared" si="1"/>
        <v/>
      </c>
      <c r="H867" s="2" t="str">
        <f t="shared" si="2"/>
        <v/>
      </c>
    </row>
    <row r="868" outlineLevel="1">
      <c r="A868" s="2"/>
      <c r="C868" s="2"/>
      <c r="G868" s="1" t="str">
        <f t="shared" si="1"/>
        <v/>
      </c>
      <c r="H868" s="2" t="str">
        <f t="shared" si="2"/>
        <v/>
      </c>
    </row>
    <row r="869" outlineLevel="1">
      <c r="A869" s="2"/>
      <c r="C869" s="2"/>
      <c r="G869" s="1" t="str">
        <f t="shared" si="1"/>
        <v/>
      </c>
      <c r="H869" s="2" t="str">
        <f t="shared" si="2"/>
        <v/>
      </c>
    </row>
    <row r="870" outlineLevel="1">
      <c r="A870" s="2"/>
      <c r="C870" s="2"/>
      <c r="G870" s="1" t="str">
        <f t="shared" si="1"/>
        <v/>
      </c>
      <c r="H870" s="2" t="str">
        <f t="shared" si="2"/>
        <v/>
      </c>
    </row>
    <row r="871" outlineLevel="1">
      <c r="A871" s="2"/>
      <c r="C871" s="2"/>
      <c r="G871" s="1" t="str">
        <f t="shared" si="1"/>
        <v/>
      </c>
      <c r="H871" s="2" t="str">
        <f t="shared" si="2"/>
        <v/>
      </c>
    </row>
    <row r="872" outlineLevel="1">
      <c r="A872" s="2"/>
      <c r="C872" s="2"/>
      <c r="G872" s="1" t="str">
        <f t="shared" si="1"/>
        <v/>
      </c>
      <c r="H872" s="2" t="str">
        <f t="shared" si="2"/>
        <v/>
      </c>
    </row>
    <row r="873" outlineLevel="1">
      <c r="A873" s="2"/>
      <c r="C873" s="2"/>
      <c r="G873" s="1" t="str">
        <f t="shared" si="1"/>
        <v/>
      </c>
      <c r="H873" s="2" t="str">
        <f t="shared" si="2"/>
        <v/>
      </c>
    </row>
    <row r="874" outlineLevel="1">
      <c r="A874" s="2"/>
      <c r="C874" s="2"/>
      <c r="G874" s="1" t="str">
        <f t="shared" si="1"/>
        <v/>
      </c>
      <c r="H874" s="2" t="str">
        <f t="shared" si="2"/>
        <v/>
      </c>
    </row>
    <row r="875" outlineLevel="1">
      <c r="A875" s="2"/>
      <c r="C875" s="2"/>
      <c r="G875" s="1" t="str">
        <f t="shared" si="1"/>
        <v/>
      </c>
      <c r="H875" s="2" t="str">
        <f t="shared" si="2"/>
        <v/>
      </c>
    </row>
    <row r="876" outlineLevel="1">
      <c r="A876" s="2"/>
      <c r="C876" s="2"/>
      <c r="G876" s="1" t="str">
        <f t="shared" si="1"/>
        <v/>
      </c>
      <c r="H876" s="2" t="str">
        <f t="shared" si="2"/>
        <v/>
      </c>
    </row>
    <row r="877" outlineLevel="1">
      <c r="A877" s="2"/>
      <c r="C877" s="2"/>
      <c r="G877" s="1" t="str">
        <f t="shared" si="1"/>
        <v/>
      </c>
      <c r="H877" s="2" t="str">
        <f t="shared" si="2"/>
        <v/>
      </c>
    </row>
    <row r="878" outlineLevel="1">
      <c r="A878" s="2"/>
      <c r="C878" s="2"/>
      <c r="G878" s="1" t="str">
        <f t="shared" si="1"/>
        <v/>
      </c>
      <c r="H878" s="2" t="str">
        <f t="shared" si="2"/>
        <v/>
      </c>
    </row>
    <row r="879" outlineLevel="1">
      <c r="A879" s="2"/>
      <c r="C879" s="2"/>
      <c r="G879" s="1" t="str">
        <f t="shared" si="1"/>
        <v/>
      </c>
      <c r="H879" s="2" t="str">
        <f t="shared" si="2"/>
        <v/>
      </c>
    </row>
    <row r="880" outlineLevel="1">
      <c r="A880" s="2"/>
      <c r="C880" s="2"/>
      <c r="G880" s="1" t="str">
        <f t="shared" si="1"/>
        <v/>
      </c>
      <c r="H880" s="2" t="str">
        <f t="shared" si="2"/>
        <v/>
      </c>
    </row>
    <row r="881" outlineLevel="1">
      <c r="A881" s="2"/>
      <c r="C881" s="2"/>
      <c r="G881" s="1" t="str">
        <f t="shared" si="1"/>
        <v/>
      </c>
      <c r="H881" s="2" t="str">
        <f t="shared" si="2"/>
        <v/>
      </c>
    </row>
    <row r="882" outlineLevel="1">
      <c r="A882" s="2"/>
      <c r="C882" s="2"/>
      <c r="G882" s="1" t="str">
        <f t="shared" si="1"/>
        <v/>
      </c>
      <c r="H882" s="2" t="str">
        <f t="shared" si="2"/>
        <v/>
      </c>
    </row>
    <row r="883" outlineLevel="1">
      <c r="A883" s="2"/>
      <c r="C883" s="2"/>
      <c r="G883" s="1" t="str">
        <f t="shared" si="1"/>
        <v/>
      </c>
      <c r="H883" s="2" t="str">
        <f t="shared" si="2"/>
        <v/>
      </c>
    </row>
    <row r="884" outlineLevel="1">
      <c r="A884" s="2"/>
      <c r="C884" s="2"/>
      <c r="G884" s="1" t="str">
        <f t="shared" si="1"/>
        <v/>
      </c>
      <c r="H884" s="2" t="str">
        <f t="shared" si="2"/>
        <v/>
      </c>
    </row>
    <row r="885" outlineLevel="1">
      <c r="A885" s="2"/>
      <c r="C885" s="2"/>
      <c r="G885" s="1" t="str">
        <f t="shared" si="1"/>
        <v/>
      </c>
      <c r="H885" s="2" t="str">
        <f t="shared" si="2"/>
        <v/>
      </c>
    </row>
    <row r="886" outlineLevel="1">
      <c r="A886" s="2"/>
      <c r="C886" s="2"/>
      <c r="G886" s="1" t="str">
        <f t="shared" si="1"/>
        <v/>
      </c>
      <c r="H886" s="2" t="str">
        <f t="shared" si="2"/>
        <v/>
      </c>
    </row>
    <row r="887" outlineLevel="1">
      <c r="A887" s="2"/>
      <c r="C887" s="2"/>
      <c r="G887" s="1" t="str">
        <f t="shared" si="1"/>
        <v/>
      </c>
      <c r="H887" s="2" t="str">
        <f t="shared" si="2"/>
        <v/>
      </c>
    </row>
    <row r="888" outlineLevel="1">
      <c r="A888" s="2"/>
      <c r="C888" s="2"/>
      <c r="G888" s="1" t="str">
        <f t="shared" si="1"/>
        <v/>
      </c>
      <c r="H888" s="2" t="str">
        <f t="shared" si="2"/>
        <v/>
      </c>
    </row>
    <row r="889" outlineLevel="1">
      <c r="A889" s="2"/>
      <c r="C889" s="2"/>
      <c r="G889" s="1" t="str">
        <f t="shared" si="1"/>
        <v/>
      </c>
      <c r="H889" s="2" t="str">
        <f t="shared" si="2"/>
        <v/>
      </c>
    </row>
    <row r="890" outlineLevel="1">
      <c r="A890" s="2"/>
      <c r="C890" s="2"/>
      <c r="G890" s="1" t="str">
        <f t="shared" si="1"/>
        <v/>
      </c>
      <c r="H890" s="2" t="str">
        <f t="shared" si="2"/>
        <v/>
      </c>
    </row>
    <row r="891" outlineLevel="1">
      <c r="A891" s="2"/>
      <c r="C891" s="2"/>
      <c r="G891" s="1" t="str">
        <f t="shared" si="1"/>
        <v/>
      </c>
      <c r="H891" s="2" t="str">
        <f t="shared" si="2"/>
        <v/>
      </c>
    </row>
    <row r="892" outlineLevel="1">
      <c r="A892" s="2"/>
      <c r="C892" s="2"/>
      <c r="G892" s="1" t="str">
        <f t="shared" si="1"/>
        <v/>
      </c>
      <c r="H892" s="2" t="str">
        <f t="shared" si="2"/>
        <v/>
      </c>
    </row>
    <row r="893" outlineLevel="1">
      <c r="A893" s="2"/>
      <c r="C893" s="2"/>
      <c r="G893" s="1" t="str">
        <f t="shared" si="1"/>
        <v/>
      </c>
      <c r="H893" s="2" t="str">
        <f t="shared" si="2"/>
        <v/>
      </c>
    </row>
    <row r="894" outlineLevel="1">
      <c r="A894" s="2"/>
      <c r="C894" s="2"/>
      <c r="G894" s="1" t="str">
        <f t="shared" si="1"/>
        <v/>
      </c>
      <c r="H894" s="2" t="str">
        <f t="shared" si="2"/>
        <v/>
      </c>
    </row>
    <row r="895" outlineLevel="1">
      <c r="A895" s="2"/>
      <c r="C895" s="2"/>
      <c r="G895" s="1" t="str">
        <f t="shared" si="1"/>
        <v/>
      </c>
      <c r="H895" s="2" t="str">
        <f t="shared" si="2"/>
        <v/>
      </c>
    </row>
    <row r="896" outlineLevel="1">
      <c r="A896" s="2"/>
      <c r="C896" s="2"/>
      <c r="G896" s="1" t="str">
        <f t="shared" si="1"/>
        <v/>
      </c>
      <c r="H896" s="2" t="str">
        <f t="shared" si="2"/>
        <v/>
      </c>
    </row>
    <row r="897" outlineLevel="1">
      <c r="A897" s="2"/>
      <c r="C897" s="2"/>
      <c r="G897" s="1" t="str">
        <f t="shared" si="1"/>
        <v/>
      </c>
      <c r="H897" s="2" t="str">
        <f t="shared" si="2"/>
        <v/>
      </c>
    </row>
    <row r="898" outlineLevel="1">
      <c r="A898" s="2"/>
      <c r="C898" s="2"/>
      <c r="G898" s="1" t="str">
        <f t="shared" si="1"/>
        <v/>
      </c>
      <c r="H898" s="2" t="str">
        <f t="shared" si="2"/>
        <v/>
      </c>
    </row>
    <row r="899" outlineLevel="1">
      <c r="A899" s="2"/>
      <c r="C899" s="2"/>
      <c r="G899" s="1" t="str">
        <f t="shared" si="1"/>
        <v/>
      </c>
      <c r="H899" s="2" t="str">
        <f t="shared" si="2"/>
        <v/>
      </c>
    </row>
    <row r="900" outlineLevel="1">
      <c r="A900" s="2"/>
      <c r="C900" s="2"/>
      <c r="G900" s="1" t="str">
        <f t="shared" si="1"/>
        <v/>
      </c>
      <c r="H900" s="2" t="str">
        <f t="shared" si="2"/>
        <v/>
      </c>
    </row>
    <row r="901" outlineLevel="1">
      <c r="A901" s="2"/>
      <c r="C901" s="2"/>
      <c r="G901" s="1" t="str">
        <f t="shared" si="1"/>
        <v/>
      </c>
      <c r="H901" s="2" t="str">
        <f t="shared" si="2"/>
        <v/>
      </c>
    </row>
    <row r="902" outlineLevel="1">
      <c r="A902" s="2"/>
      <c r="C902" s="2"/>
      <c r="G902" s="1" t="str">
        <f t="shared" si="1"/>
        <v/>
      </c>
      <c r="H902" s="2" t="str">
        <f t="shared" si="2"/>
        <v/>
      </c>
    </row>
    <row r="903" outlineLevel="1">
      <c r="A903" s="2"/>
      <c r="C903" s="2"/>
      <c r="G903" s="1" t="str">
        <f t="shared" si="1"/>
        <v/>
      </c>
      <c r="H903" s="2" t="str">
        <f t="shared" si="2"/>
        <v/>
      </c>
    </row>
    <row r="904" outlineLevel="1">
      <c r="A904" s="2"/>
      <c r="C904" s="2"/>
      <c r="G904" s="1" t="str">
        <f t="shared" si="1"/>
        <v/>
      </c>
      <c r="H904" s="2" t="str">
        <f t="shared" si="2"/>
        <v/>
      </c>
    </row>
    <row r="905" outlineLevel="1">
      <c r="A905" s="2"/>
      <c r="C905" s="2"/>
      <c r="G905" s="1" t="str">
        <f t="shared" si="1"/>
        <v/>
      </c>
      <c r="H905" s="2" t="str">
        <f t="shared" si="2"/>
        <v/>
      </c>
    </row>
    <row r="906" outlineLevel="1">
      <c r="A906" s="2"/>
      <c r="C906" s="2"/>
      <c r="G906" s="1" t="str">
        <f t="shared" si="1"/>
        <v/>
      </c>
      <c r="H906" s="2" t="str">
        <f t="shared" si="2"/>
        <v/>
      </c>
    </row>
    <row r="907" outlineLevel="1">
      <c r="A907" s="2"/>
      <c r="C907" s="2"/>
      <c r="G907" s="1" t="str">
        <f t="shared" si="1"/>
        <v/>
      </c>
      <c r="H907" s="2" t="str">
        <f t="shared" si="2"/>
        <v/>
      </c>
    </row>
    <row r="908" outlineLevel="1">
      <c r="A908" s="2"/>
      <c r="C908" s="2"/>
      <c r="G908" s="1" t="str">
        <f t="shared" si="1"/>
        <v/>
      </c>
      <c r="H908" s="2" t="str">
        <f t="shared" si="2"/>
        <v/>
      </c>
    </row>
    <row r="909" outlineLevel="1">
      <c r="A909" s="2"/>
      <c r="C909" s="2"/>
      <c r="G909" s="1" t="str">
        <f t="shared" si="1"/>
        <v/>
      </c>
      <c r="H909" s="2" t="str">
        <f t="shared" si="2"/>
        <v/>
      </c>
    </row>
    <row r="910" outlineLevel="1">
      <c r="A910" s="2"/>
      <c r="C910" s="2"/>
      <c r="G910" s="1" t="str">
        <f t="shared" si="1"/>
        <v/>
      </c>
      <c r="H910" s="2" t="str">
        <f t="shared" si="2"/>
        <v/>
      </c>
    </row>
    <row r="911" outlineLevel="1">
      <c r="A911" s="2"/>
      <c r="C911" s="2"/>
      <c r="G911" s="1" t="str">
        <f t="shared" si="1"/>
        <v/>
      </c>
      <c r="H911" s="2" t="str">
        <f t="shared" si="2"/>
        <v/>
      </c>
    </row>
    <row r="912" outlineLevel="1">
      <c r="A912" s="2"/>
      <c r="C912" s="2"/>
      <c r="G912" s="1" t="str">
        <f t="shared" si="1"/>
        <v/>
      </c>
      <c r="H912" s="2" t="str">
        <f t="shared" si="2"/>
        <v/>
      </c>
    </row>
    <row r="913" outlineLevel="1">
      <c r="A913" s="2"/>
      <c r="C913" s="2"/>
      <c r="G913" s="1" t="str">
        <f t="shared" si="1"/>
        <v/>
      </c>
      <c r="H913" s="2" t="str">
        <f t="shared" si="2"/>
        <v/>
      </c>
    </row>
    <row r="914" outlineLevel="1">
      <c r="A914" s="2"/>
      <c r="C914" s="2"/>
      <c r="G914" s="1" t="str">
        <f t="shared" si="1"/>
        <v/>
      </c>
      <c r="H914" s="2" t="str">
        <f t="shared" si="2"/>
        <v/>
      </c>
    </row>
    <row r="915" outlineLevel="1">
      <c r="A915" s="2"/>
      <c r="C915" s="2"/>
      <c r="G915" s="1" t="str">
        <f t="shared" si="1"/>
        <v/>
      </c>
      <c r="H915" s="2" t="str">
        <f t="shared" si="2"/>
        <v/>
      </c>
    </row>
    <row r="916" outlineLevel="1">
      <c r="A916" s="2"/>
      <c r="C916" s="2"/>
      <c r="G916" s="1" t="str">
        <f t="shared" si="1"/>
        <v/>
      </c>
      <c r="H916" s="2" t="str">
        <f t="shared" si="2"/>
        <v/>
      </c>
    </row>
    <row r="917" outlineLevel="1">
      <c r="A917" s="2"/>
      <c r="C917" s="2"/>
      <c r="G917" s="1" t="str">
        <f t="shared" si="1"/>
        <v/>
      </c>
      <c r="H917" s="2" t="str">
        <f t="shared" si="2"/>
        <v/>
      </c>
    </row>
    <row r="918" outlineLevel="1">
      <c r="A918" s="2"/>
      <c r="C918" s="2"/>
      <c r="G918" s="1" t="str">
        <f t="shared" si="1"/>
        <v/>
      </c>
      <c r="H918" s="2" t="str">
        <f t="shared" si="2"/>
        <v/>
      </c>
    </row>
    <row r="919" outlineLevel="1">
      <c r="A919" s="2"/>
      <c r="C919" s="2"/>
      <c r="G919" s="1" t="str">
        <f t="shared" si="1"/>
        <v/>
      </c>
      <c r="H919" s="2" t="str">
        <f t="shared" si="2"/>
        <v/>
      </c>
    </row>
    <row r="920" outlineLevel="1">
      <c r="A920" s="2"/>
      <c r="C920" s="2"/>
      <c r="G920" s="1" t="str">
        <f t="shared" si="1"/>
        <v/>
      </c>
      <c r="H920" s="2" t="str">
        <f t="shared" si="2"/>
        <v/>
      </c>
    </row>
    <row r="921" outlineLevel="1">
      <c r="A921" s="2"/>
      <c r="C921" s="2"/>
      <c r="G921" s="1" t="str">
        <f t="shared" si="1"/>
        <v/>
      </c>
      <c r="H921" s="2" t="str">
        <f t="shared" si="2"/>
        <v/>
      </c>
    </row>
    <row r="922" outlineLevel="1">
      <c r="A922" s="2"/>
      <c r="C922" s="2"/>
      <c r="G922" s="1" t="str">
        <f t="shared" si="1"/>
        <v/>
      </c>
      <c r="H922" s="2" t="str">
        <f t="shared" si="2"/>
        <v/>
      </c>
    </row>
    <row r="923" outlineLevel="1">
      <c r="A923" s="2"/>
      <c r="C923" s="2"/>
      <c r="G923" s="1" t="str">
        <f t="shared" si="1"/>
        <v/>
      </c>
      <c r="H923" s="2" t="str">
        <f t="shared" si="2"/>
        <v/>
      </c>
    </row>
    <row r="924" outlineLevel="1">
      <c r="A924" s="2"/>
      <c r="C924" s="2"/>
      <c r="G924" s="1" t="str">
        <f t="shared" si="1"/>
        <v/>
      </c>
      <c r="H924" s="2" t="str">
        <f t="shared" si="2"/>
        <v/>
      </c>
    </row>
    <row r="925" outlineLevel="1">
      <c r="A925" s="2"/>
      <c r="C925" s="2"/>
      <c r="G925" s="1" t="str">
        <f t="shared" si="1"/>
        <v/>
      </c>
      <c r="H925" s="2" t="str">
        <f t="shared" si="2"/>
        <v/>
      </c>
    </row>
    <row r="926" outlineLevel="1">
      <c r="A926" s="2"/>
      <c r="C926" s="2"/>
      <c r="G926" s="1" t="str">
        <f t="shared" si="1"/>
        <v/>
      </c>
      <c r="H926" s="2" t="str">
        <f t="shared" si="2"/>
        <v/>
      </c>
    </row>
    <row r="927" outlineLevel="1">
      <c r="A927" s="2"/>
      <c r="C927" s="2"/>
      <c r="G927" s="1" t="str">
        <f t="shared" si="1"/>
        <v/>
      </c>
      <c r="H927" s="2" t="str">
        <f t="shared" si="2"/>
        <v/>
      </c>
    </row>
    <row r="928" outlineLevel="1">
      <c r="A928" s="2"/>
      <c r="C928" s="2"/>
      <c r="G928" s="1" t="str">
        <f t="shared" si="1"/>
        <v/>
      </c>
      <c r="H928" s="2" t="str">
        <f t="shared" si="2"/>
        <v/>
      </c>
    </row>
    <row r="929" outlineLevel="1">
      <c r="A929" s="2"/>
      <c r="C929" s="2"/>
      <c r="G929" s="1" t="str">
        <f t="shared" si="1"/>
        <v/>
      </c>
      <c r="H929" s="2" t="str">
        <f t="shared" si="2"/>
        <v/>
      </c>
    </row>
    <row r="930" outlineLevel="1">
      <c r="A930" s="2"/>
      <c r="C930" s="2"/>
      <c r="G930" s="1" t="str">
        <f t="shared" si="1"/>
        <v/>
      </c>
      <c r="H930" s="2" t="str">
        <f t="shared" si="2"/>
        <v/>
      </c>
    </row>
    <row r="931" outlineLevel="1">
      <c r="A931" s="2"/>
      <c r="C931" s="2"/>
      <c r="G931" s="1" t="str">
        <f t="shared" si="1"/>
        <v/>
      </c>
      <c r="H931" s="2" t="str">
        <f t="shared" si="2"/>
        <v/>
      </c>
    </row>
    <row r="932" outlineLevel="1">
      <c r="A932" s="2"/>
      <c r="C932" s="2"/>
      <c r="G932" s="1" t="str">
        <f t="shared" si="1"/>
        <v/>
      </c>
      <c r="H932" s="2" t="str">
        <f t="shared" si="2"/>
        <v/>
      </c>
    </row>
    <row r="933" outlineLevel="1">
      <c r="A933" s="2"/>
      <c r="C933" s="2"/>
      <c r="G933" s="1" t="str">
        <f t="shared" si="1"/>
        <v/>
      </c>
      <c r="H933" s="2" t="str">
        <f t="shared" si="2"/>
        <v/>
      </c>
    </row>
    <row r="934" outlineLevel="1">
      <c r="A934" s="2"/>
      <c r="C934" s="2"/>
      <c r="G934" s="1" t="str">
        <f t="shared" si="1"/>
        <v/>
      </c>
      <c r="H934" s="2" t="str">
        <f t="shared" si="2"/>
        <v/>
      </c>
    </row>
    <row r="935" outlineLevel="1">
      <c r="A935" s="2"/>
      <c r="C935" s="2"/>
      <c r="G935" s="1" t="str">
        <f t="shared" si="1"/>
        <v/>
      </c>
      <c r="H935" s="2" t="str">
        <f t="shared" si="2"/>
        <v/>
      </c>
    </row>
    <row r="936" outlineLevel="1">
      <c r="A936" s="2"/>
      <c r="C936" s="2"/>
      <c r="G936" s="1" t="str">
        <f t="shared" si="1"/>
        <v/>
      </c>
      <c r="H936" s="2" t="str">
        <f t="shared" si="2"/>
        <v/>
      </c>
    </row>
    <row r="937" outlineLevel="1">
      <c r="A937" s="2"/>
      <c r="C937" s="2"/>
      <c r="G937" s="1" t="str">
        <f t="shared" si="1"/>
        <v/>
      </c>
      <c r="H937" s="2" t="str">
        <f t="shared" si="2"/>
        <v/>
      </c>
    </row>
    <row r="938" outlineLevel="1">
      <c r="A938" s="2"/>
      <c r="C938" s="2"/>
      <c r="G938" s="1" t="str">
        <f t="shared" si="1"/>
        <v/>
      </c>
      <c r="H938" s="2" t="str">
        <f t="shared" si="2"/>
        <v/>
      </c>
    </row>
    <row r="939" outlineLevel="1">
      <c r="A939" s="2"/>
      <c r="C939" s="2"/>
      <c r="G939" s="1" t="str">
        <f t="shared" si="1"/>
        <v/>
      </c>
      <c r="H939" s="2" t="str">
        <f t="shared" si="2"/>
        <v/>
      </c>
    </row>
    <row r="940" outlineLevel="1">
      <c r="A940" s="2"/>
      <c r="C940" s="2"/>
      <c r="G940" s="1" t="str">
        <f t="shared" si="1"/>
        <v/>
      </c>
      <c r="H940" s="2" t="str">
        <f t="shared" si="2"/>
        <v/>
      </c>
    </row>
    <row r="941" outlineLevel="1">
      <c r="A941" s="2"/>
      <c r="C941" s="2"/>
      <c r="G941" s="1" t="str">
        <f t="shared" si="1"/>
        <v/>
      </c>
      <c r="H941" s="2" t="str">
        <f t="shared" si="2"/>
        <v/>
      </c>
    </row>
    <row r="942" outlineLevel="1">
      <c r="A942" s="2"/>
      <c r="C942" s="2"/>
      <c r="G942" s="1" t="str">
        <f t="shared" si="1"/>
        <v/>
      </c>
      <c r="H942" s="2" t="str">
        <f t="shared" si="2"/>
        <v/>
      </c>
    </row>
    <row r="943" outlineLevel="1">
      <c r="A943" s="2"/>
      <c r="C943" s="2"/>
      <c r="G943" s="1" t="str">
        <f t="shared" si="1"/>
        <v/>
      </c>
      <c r="H943" s="2" t="str">
        <f t="shared" si="2"/>
        <v/>
      </c>
    </row>
    <row r="944" outlineLevel="1">
      <c r="A944" s="2"/>
      <c r="C944" s="2"/>
      <c r="G944" s="1" t="str">
        <f t="shared" si="1"/>
        <v/>
      </c>
      <c r="H944" s="2" t="str">
        <f t="shared" si="2"/>
        <v/>
      </c>
    </row>
    <row r="945" outlineLevel="1">
      <c r="A945" s="2"/>
      <c r="C945" s="2"/>
      <c r="G945" s="1" t="str">
        <f t="shared" si="1"/>
        <v/>
      </c>
      <c r="H945" s="2" t="str">
        <f t="shared" si="2"/>
        <v/>
      </c>
    </row>
    <row r="946" outlineLevel="1">
      <c r="A946" s="2"/>
      <c r="C946" s="2"/>
      <c r="G946" s="1" t="str">
        <f t="shared" si="1"/>
        <v/>
      </c>
      <c r="H946" s="2" t="str">
        <f t="shared" si="2"/>
        <v/>
      </c>
    </row>
    <row r="947" outlineLevel="1">
      <c r="A947" s="2"/>
      <c r="C947" s="2"/>
      <c r="G947" s="1" t="str">
        <f t="shared" si="1"/>
        <v/>
      </c>
      <c r="H947" s="2" t="str">
        <f t="shared" si="2"/>
        <v/>
      </c>
    </row>
    <row r="948" outlineLevel="1">
      <c r="A948" s="2"/>
      <c r="C948" s="2"/>
      <c r="G948" s="1" t="str">
        <f t="shared" si="1"/>
        <v/>
      </c>
      <c r="H948" s="2" t="str">
        <f t="shared" si="2"/>
        <v/>
      </c>
    </row>
    <row r="949" outlineLevel="1">
      <c r="A949" s="2"/>
      <c r="C949" s="2"/>
      <c r="G949" s="1" t="str">
        <f t="shared" si="1"/>
        <v/>
      </c>
      <c r="H949" s="2" t="str">
        <f t="shared" si="2"/>
        <v/>
      </c>
    </row>
    <row r="950" outlineLevel="1">
      <c r="A950" s="2"/>
      <c r="C950" s="2"/>
      <c r="G950" s="1" t="str">
        <f t="shared" si="1"/>
        <v/>
      </c>
      <c r="H950" s="2" t="str">
        <f t="shared" si="2"/>
        <v/>
      </c>
    </row>
    <row r="951" outlineLevel="1">
      <c r="A951" s="2"/>
      <c r="C951" s="2"/>
      <c r="G951" s="1" t="str">
        <f t="shared" si="1"/>
        <v/>
      </c>
      <c r="H951" s="2" t="str">
        <f t="shared" si="2"/>
        <v/>
      </c>
    </row>
    <row r="952" outlineLevel="1">
      <c r="A952" s="2"/>
      <c r="C952" s="2"/>
      <c r="G952" s="1" t="str">
        <f t="shared" si="1"/>
        <v/>
      </c>
      <c r="H952" s="2" t="str">
        <f t="shared" si="2"/>
        <v/>
      </c>
    </row>
    <row r="953" outlineLevel="1">
      <c r="A953" s="2"/>
      <c r="C953" s="2"/>
      <c r="G953" s="1" t="str">
        <f t="shared" si="1"/>
        <v/>
      </c>
      <c r="H953" s="2" t="str">
        <f t="shared" si="2"/>
        <v/>
      </c>
    </row>
    <row r="954" outlineLevel="1">
      <c r="A954" s="2"/>
      <c r="C954" s="2"/>
      <c r="G954" s="1" t="str">
        <f t="shared" si="1"/>
        <v/>
      </c>
      <c r="H954" s="2" t="str">
        <f t="shared" si="2"/>
        <v/>
      </c>
    </row>
    <row r="955" outlineLevel="1">
      <c r="A955" s="2"/>
      <c r="C955" s="2"/>
      <c r="G955" s="1" t="str">
        <f t="shared" si="1"/>
        <v/>
      </c>
      <c r="H955" s="2" t="str">
        <f t="shared" si="2"/>
        <v/>
      </c>
    </row>
    <row r="956" outlineLevel="1">
      <c r="A956" s="2"/>
      <c r="C956" s="2"/>
      <c r="G956" s="1" t="str">
        <f t="shared" si="1"/>
        <v/>
      </c>
      <c r="H956" s="2" t="str">
        <f t="shared" si="2"/>
        <v/>
      </c>
    </row>
    <row r="957" outlineLevel="1">
      <c r="A957" s="2"/>
      <c r="C957" s="2"/>
      <c r="G957" s="1" t="str">
        <f t="shared" si="1"/>
        <v/>
      </c>
      <c r="H957" s="2" t="str">
        <f t="shared" si="2"/>
        <v/>
      </c>
    </row>
    <row r="958" outlineLevel="1">
      <c r="A958" s="2"/>
      <c r="C958" s="2"/>
      <c r="G958" s="1" t="str">
        <f t="shared" si="1"/>
        <v/>
      </c>
      <c r="H958" s="2" t="str">
        <f t="shared" si="2"/>
        <v/>
      </c>
    </row>
    <row r="959" outlineLevel="1">
      <c r="A959" s="2"/>
      <c r="C959" s="2"/>
      <c r="G959" s="1" t="str">
        <f t="shared" si="1"/>
        <v/>
      </c>
      <c r="H959" s="2" t="str">
        <f t="shared" si="2"/>
        <v/>
      </c>
    </row>
    <row r="960" outlineLevel="1">
      <c r="A960" s="2"/>
      <c r="C960" s="2"/>
      <c r="G960" s="1" t="str">
        <f t="shared" si="1"/>
        <v/>
      </c>
      <c r="H960" s="2" t="str">
        <f t="shared" si="2"/>
        <v/>
      </c>
    </row>
    <row r="961" outlineLevel="1">
      <c r="A961" s="2"/>
      <c r="C961" s="2"/>
      <c r="G961" s="1" t="str">
        <f t="shared" si="1"/>
        <v/>
      </c>
      <c r="H961" s="2" t="str">
        <f t="shared" si="2"/>
        <v/>
      </c>
    </row>
    <row r="962" outlineLevel="1">
      <c r="A962" s="2"/>
      <c r="C962" s="2"/>
      <c r="G962" s="1" t="str">
        <f t="shared" si="1"/>
        <v/>
      </c>
      <c r="H962" s="2" t="str">
        <f t="shared" si="2"/>
        <v/>
      </c>
    </row>
    <row r="963" outlineLevel="1">
      <c r="A963" s="2"/>
      <c r="C963" s="2"/>
      <c r="G963" s="1" t="str">
        <f t="shared" si="1"/>
        <v/>
      </c>
      <c r="H963" s="2" t="str">
        <f t="shared" si="2"/>
        <v/>
      </c>
    </row>
    <row r="964" outlineLevel="1">
      <c r="A964" s="2"/>
      <c r="C964" s="2"/>
      <c r="G964" s="1" t="str">
        <f t="shared" si="1"/>
        <v/>
      </c>
      <c r="H964" s="2" t="str">
        <f t="shared" si="2"/>
        <v/>
      </c>
    </row>
    <row r="965" outlineLevel="1">
      <c r="A965" s="2"/>
      <c r="C965" s="2"/>
      <c r="G965" s="1" t="str">
        <f t="shared" si="1"/>
        <v/>
      </c>
      <c r="H965" s="2" t="str">
        <f t="shared" si="2"/>
        <v/>
      </c>
    </row>
    <row r="966" outlineLevel="1">
      <c r="A966" s="2"/>
      <c r="C966" s="2"/>
      <c r="G966" s="1" t="str">
        <f t="shared" si="1"/>
        <v/>
      </c>
      <c r="H966" s="2" t="str">
        <f t="shared" si="2"/>
        <v/>
      </c>
    </row>
    <row r="967" outlineLevel="1">
      <c r="A967" s="2"/>
      <c r="C967" s="2"/>
      <c r="G967" s="1" t="str">
        <f t="shared" si="1"/>
        <v/>
      </c>
      <c r="H967" s="2" t="str">
        <f t="shared" si="2"/>
        <v/>
      </c>
    </row>
    <row r="968" outlineLevel="1">
      <c r="A968" s="2"/>
      <c r="C968" s="2"/>
      <c r="G968" s="1" t="str">
        <f t="shared" si="1"/>
        <v/>
      </c>
      <c r="H968" s="2" t="str">
        <f t="shared" si="2"/>
        <v/>
      </c>
    </row>
    <row r="969" outlineLevel="1">
      <c r="A969" s="2"/>
      <c r="C969" s="2"/>
      <c r="G969" s="1" t="str">
        <f t="shared" si="1"/>
        <v/>
      </c>
      <c r="H969" s="2" t="str">
        <f t="shared" si="2"/>
        <v/>
      </c>
    </row>
    <row r="970" outlineLevel="1">
      <c r="A970" s="2"/>
      <c r="C970" s="2"/>
      <c r="G970" s="1" t="str">
        <f t="shared" si="1"/>
        <v/>
      </c>
      <c r="H970" s="2" t="str">
        <f t="shared" si="2"/>
        <v/>
      </c>
    </row>
    <row r="971" outlineLevel="1">
      <c r="A971" s="2"/>
      <c r="C971" s="2"/>
      <c r="G971" s="1" t="str">
        <f t="shared" si="1"/>
        <v/>
      </c>
      <c r="H971" s="2" t="str">
        <f t="shared" si="2"/>
        <v/>
      </c>
    </row>
    <row r="972" outlineLevel="1">
      <c r="A972" s="2"/>
      <c r="C972" s="2"/>
      <c r="G972" s="1" t="str">
        <f t="shared" si="1"/>
        <v/>
      </c>
      <c r="H972" s="2" t="str">
        <f t="shared" si="2"/>
        <v/>
      </c>
    </row>
    <row r="973" outlineLevel="1">
      <c r="A973" s="2"/>
      <c r="C973" s="2"/>
      <c r="G973" s="1" t="str">
        <f t="shared" si="1"/>
        <v/>
      </c>
      <c r="H973" s="2" t="str">
        <f t="shared" si="2"/>
        <v/>
      </c>
    </row>
    <row r="974" outlineLevel="1">
      <c r="A974" s="2"/>
      <c r="C974" s="2"/>
      <c r="G974" s="1" t="str">
        <f t="shared" si="1"/>
        <v/>
      </c>
      <c r="H974" s="2" t="str">
        <f t="shared" si="2"/>
        <v/>
      </c>
    </row>
    <row r="975" outlineLevel="1">
      <c r="A975" s="2"/>
      <c r="C975" s="2"/>
      <c r="G975" s="1" t="str">
        <f t="shared" si="1"/>
        <v/>
      </c>
      <c r="H975" s="2" t="str">
        <f t="shared" si="2"/>
        <v/>
      </c>
    </row>
    <row r="976" outlineLevel="1">
      <c r="A976" s="2"/>
      <c r="C976" s="2"/>
      <c r="G976" s="1" t="str">
        <f t="shared" si="1"/>
        <v/>
      </c>
      <c r="H976" s="2" t="str">
        <f t="shared" si="2"/>
        <v/>
      </c>
    </row>
    <row r="977" outlineLevel="1">
      <c r="A977" s="2"/>
      <c r="C977" s="2"/>
      <c r="G977" s="1" t="str">
        <f t="shared" si="1"/>
        <v/>
      </c>
      <c r="H977" s="2" t="str">
        <f t="shared" si="2"/>
        <v/>
      </c>
    </row>
    <row r="978" outlineLevel="1">
      <c r="A978" s="2"/>
      <c r="C978" s="2"/>
      <c r="G978" s="1" t="str">
        <f t="shared" si="1"/>
        <v/>
      </c>
      <c r="H978" s="2" t="str">
        <f t="shared" si="2"/>
        <v/>
      </c>
    </row>
    <row r="979" outlineLevel="1">
      <c r="A979" s="2"/>
      <c r="C979" s="2"/>
      <c r="G979" s="1" t="str">
        <f t="shared" si="1"/>
        <v/>
      </c>
      <c r="H979" s="2" t="str">
        <f t="shared" si="2"/>
        <v/>
      </c>
    </row>
    <row r="980" outlineLevel="1">
      <c r="A980" s="2"/>
      <c r="C980" s="2"/>
      <c r="G980" s="1" t="str">
        <f t="shared" si="1"/>
        <v/>
      </c>
      <c r="H980" s="2" t="str">
        <f t="shared" si="2"/>
        <v/>
      </c>
    </row>
    <row r="981" outlineLevel="1">
      <c r="A981" s="2"/>
      <c r="C981" s="2"/>
      <c r="G981" s="1" t="str">
        <f t="shared" si="1"/>
        <v/>
      </c>
      <c r="H981" s="2" t="str">
        <f t="shared" si="2"/>
        <v/>
      </c>
    </row>
    <row r="982" outlineLevel="1">
      <c r="A982" s="2"/>
      <c r="C982" s="2"/>
      <c r="G982" s="1" t="str">
        <f t="shared" si="1"/>
        <v/>
      </c>
      <c r="H982" s="2" t="str">
        <f t="shared" si="2"/>
        <v/>
      </c>
    </row>
    <row r="983" outlineLevel="1">
      <c r="A983" s="2"/>
      <c r="C983" s="2"/>
      <c r="G983" s="1" t="str">
        <f t="shared" si="1"/>
        <v/>
      </c>
      <c r="H983" s="2" t="str">
        <f t="shared" si="2"/>
        <v/>
      </c>
    </row>
    <row r="984" outlineLevel="1">
      <c r="A984" s="2"/>
      <c r="C984" s="2"/>
      <c r="G984" s="1" t="str">
        <f t="shared" si="1"/>
        <v/>
      </c>
      <c r="H984" s="2" t="str">
        <f t="shared" si="2"/>
        <v/>
      </c>
    </row>
    <row r="985" outlineLevel="1">
      <c r="A985" s="2"/>
      <c r="C985" s="2"/>
      <c r="G985" s="1" t="str">
        <f t="shared" si="1"/>
        <v/>
      </c>
      <c r="H985" s="2" t="str">
        <f t="shared" si="2"/>
        <v/>
      </c>
    </row>
    <row r="986" outlineLevel="1">
      <c r="A986" s="2"/>
      <c r="C986" s="2"/>
      <c r="G986" s="1" t="str">
        <f t="shared" si="1"/>
        <v/>
      </c>
      <c r="H986" s="2" t="str">
        <f t="shared" si="2"/>
        <v/>
      </c>
    </row>
    <row r="987" outlineLevel="1">
      <c r="A987" s="2"/>
      <c r="C987" s="2"/>
      <c r="G987" s="1" t="str">
        <f t="shared" si="1"/>
        <v/>
      </c>
      <c r="H987" s="2" t="str">
        <f t="shared" si="2"/>
        <v/>
      </c>
    </row>
    <row r="988" outlineLevel="1">
      <c r="A988" s="2"/>
      <c r="C988" s="2"/>
      <c r="G988" s="1" t="str">
        <f t="shared" si="1"/>
        <v/>
      </c>
      <c r="H988" s="2" t="str">
        <f t="shared" si="2"/>
        <v/>
      </c>
    </row>
    <row r="989" outlineLevel="1">
      <c r="A989" s="2"/>
      <c r="C989" s="2"/>
      <c r="G989" s="1" t="str">
        <f t="shared" si="1"/>
        <v/>
      </c>
      <c r="H989" s="2" t="str">
        <f t="shared" si="2"/>
        <v/>
      </c>
    </row>
    <row r="990" outlineLevel="1">
      <c r="A990" s="2"/>
      <c r="C990" s="2"/>
      <c r="G990" s="1" t="str">
        <f t="shared" si="1"/>
        <v/>
      </c>
      <c r="H990" s="2" t="str">
        <f t="shared" si="2"/>
        <v/>
      </c>
    </row>
    <row r="991" outlineLevel="1">
      <c r="A991" s="2"/>
      <c r="C991" s="2"/>
      <c r="G991" s="1" t="str">
        <f t="shared" si="1"/>
        <v/>
      </c>
      <c r="H991" s="2" t="str">
        <f t="shared" si="2"/>
        <v/>
      </c>
    </row>
    <row r="992" outlineLevel="1">
      <c r="A992" s="2"/>
      <c r="C992" s="2"/>
      <c r="G992" s="1" t="str">
        <f t="shared" si="1"/>
        <v/>
      </c>
      <c r="H992" s="2" t="str">
        <f t="shared" si="2"/>
        <v/>
      </c>
    </row>
    <row r="993" outlineLevel="1">
      <c r="A993" s="2"/>
      <c r="C993" s="2"/>
      <c r="G993" s="1" t="str">
        <f t="shared" si="1"/>
        <v/>
      </c>
      <c r="H993" s="2" t="str">
        <f t="shared" si="2"/>
        <v/>
      </c>
    </row>
    <row r="994" outlineLevel="1">
      <c r="A994" s="2"/>
      <c r="C994" s="2"/>
      <c r="G994" s="1" t="str">
        <f t="shared" si="1"/>
        <v/>
      </c>
      <c r="H994" s="2" t="str">
        <f t="shared" si="2"/>
        <v/>
      </c>
    </row>
    <row r="995" outlineLevel="1">
      <c r="A995" s="2"/>
      <c r="C995" s="2"/>
      <c r="G995" s="1" t="str">
        <f t="shared" si="1"/>
        <v/>
      </c>
      <c r="H995" s="2" t="str">
        <f t="shared" si="2"/>
        <v/>
      </c>
    </row>
    <row r="996" outlineLevel="1">
      <c r="A996" s="2"/>
      <c r="C996" s="2"/>
      <c r="G996" s="1" t="str">
        <f t="shared" si="1"/>
        <v/>
      </c>
      <c r="H996" s="2" t="str">
        <f t="shared" si="2"/>
        <v/>
      </c>
    </row>
    <row r="997" outlineLevel="1">
      <c r="A997" s="2"/>
      <c r="C997" s="2"/>
      <c r="G997" s="1" t="str">
        <f t="shared" si="1"/>
        <v/>
      </c>
      <c r="H997" s="2" t="str">
        <f t="shared" si="2"/>
        <v/>
      </c>
    </row>
    <row r="998" outlineLevel="1">
      <c r="A998" s="2"/>
      <c r="C998" s="2"/>
      <c r="G998" s="1" t="str">
        <f t="shared" si="1"/>
        <v/>
      </c>
      <c r="H998" s="2" t="str">
        <f t="shared" si="2"/>
        <v/>
      </c>
    </row>
    <row r="999" outlineLevel="1">
      <c r="A999" s="2"/>
      <c r="C999" s="2"/>
      <c r="G999" s="1" t="str">
        <f t="shared" si="1"/>
        <v/>
      </c>
      <c r="H999" s="2" t="str">
        <f t="shared" si="2"/>
        <v/>
      </c>
    </row>
    <row r="1000" outlineLevel="1">
      <c r="A1000" s="2"/>
      <c r="C1000" s="2"/>
      <c r="G1000" s="1" t="str">
        <f t="shared" si="1"/>
        <v/>
      </c>
      <c r="H1000" s="2" t="str">
        <f t="shared" si="2"/>
        <v/>
      </c>
    </row>
  </sheetData>
  <autoFilter ref="$A$1:$I$153"/>
  <conditionalFormatting sqref="J6">
    <cfRule type="notContainsBlanks" dxfId="0" priority="1">
      <formula>LEN(TRIM(J6))&gt;0</formula>
    </cfRule>
  </conditionalFormatting>
  <dataValidations>
    <dataValidation type="list" allowBlank="1" showErrorMessage="1" sqref="A2:A1000 C2:C1000 G2:H1000">
      <formula1>"Luke,Kadin,Griffin,Ruben,Mitch,Jacob,Andrew,Raghav,Connor,Kyle,Michael,Nick"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13"/>
    <col customWidth="1" min="11" max="11" width="15.38"/>
  </cols>
  <sheetData>
    <row r="1">
      <c r="A1" s="1" t="s">
        <v>20</v>
      </c>
      <c r="B1" s="3" t="s">
        <v>21</v>
      </c>
      <c r="C1" s="1" t="s">
        <v>4</v>
      </c>
      <c r="D1" s="4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>
      <c r="A2" s="1" t="s">
        <v>14</v>
      </c>
      <c r="B2" s="3">
        <v>1.0</v>
      </c>
      <c r="C2" s="1">
        <v>2019.0</v>
      </c>
      <c r="D2" s="5">
        <f>IF(A2 = "", "", COUNTIFS('Game Record'!G:G, A2, 'Game Record'!E:E, C2))</f>
        <v>8</v>
      </c>
      <c r="E2" s="6">
        <f>IF(A2 = "", "", COUNTIFS('Game Record'!H:H, A2, 'Game Record'!E:E, C2))</f>
        <v>8</v>
      </c>
      <c r="F2" s="2">
        <f t="shared" ref="F2:F1000" si="1">SUMIFS(INDIRECT("Game Record!B2:B1000"), INDIRECT("Game Record!A2:A1000"), A2, INDIRECT("Game Record!E2:E1000"), C2) +
 SUMIFS(INDIRECT("Game Record!D2:D1000"), INDIRECT("Game Record!C2:C1000"), A2, INDIRECT("Game Record!E2:E1000"), C2)
</f>
        <v>2090.8</v>
      </c>
      <c r="G2" s="1">
        <f>IF(A2 = "", "", COUNTIF('Game Record'!G:G, A2))</f>
        <v>28</v>
      </c>
      <c r="H2" s="6">
        <f>IF(A2 = "", "", COUNTIF('Game Record'!H:H, A2))</f>
        <v>20</v>
      </c>
      <c r="I2" s="2">
        <f>IFERROR(__xludf.DUMMYFUNCTION("SUM(FILTER(TeamARecordSet, INDEX(TeamARecordSet, 0, 1) = A2)) + SUM(FILTER(TeamBRecordSet, INDEX(TeamBRecordSet, 0, 1) = A2))"),6498.450000000001)</f>
        <v>6498.45</v>
      </c>
      <c r="J2" s="2">
        <f t="shared" ref="J2:J1000" si="2">IFERROR(
 (SUMIFS(INDIRECT("Game Record!B2:B1000"), INDIRECT("Game Record!A2:A1000"), $A2, INDIRECT("Game Record!E2:E1000"), $C2) +
  SUMIFS(INDIRECT("Game Record!D2:D1000"), INDIRECT("Game Record!C2:C1000"), $A2, INDIRECT("Game Record!E2:E1000"), $C2)) /
 (COUNTIFS(INDIRECT("Game Record!A2:A1000"), $A2, INDIRECT("Game Record!E2:E1000"), $C2) +
  COUNTIFS(INDIRECT("Game Record!C2:C1000"), $A2, INDIRECT("Game Record!E2:E1000"), $C2)),
 0)
</f>
        <v>130.675</v>
      </c>
      <c r="K2" s="2">
        <f t="shared" ref="K2:K1000" si="3">IFERROR(I2/(G2+H2))</f>
        <v>135.384375</v>
      </c>
    </row>
    <row r="3">
      <c r="A3" s="1" t="s">
        <v>10</v>
      </c>
      <c r="B3" s="3">
        <v>2.0</v>
      </c>
      <c r="C3" s="1">
        <v>2019.0</v>
      </c>
      <c r="D3" s="5">
        <f>IF(A3 = "", "", COUNTIFS('Game Record'!G:G, A3, 'Game Record'!E:E, C3))</f>
        <v>11</v>
      </c>
      <c r="E3" s="6">
        <f>IF(A3 = "", "", COUNTIFS('Game Record'!H:H, A3, 'Game Record'!E:E, C3))</f>
        <v>4</v>
      </c>
      <c r="F3" s="2">
        <f t="shared" si="1"/>
        <v>1989.45</v>
      </c>
      <c r="G3" s="1">
        <f>IF(A3 = "", "", COUNTIF('Game Record'!G:G, A3))</f>
        <v>31</v>
      </c>
      <c r="H3" s="6">
        <f>IF(A3 = "", "", COUNTIF('Game Record'!H:H, A3))</f>
        <v>15</v>
      </c>
      <c r="I3" s="2">
        <f>IFERROR(__xludf.DUMMYFUNCTION("SUM(FILTER(TeamARecordSet, INDEX(TeamARecordSet, 0, 1) = A3)) + SUM(FILTER(TeamBRecordSet, INDEX(TeamBRecordSet, 0, 1) = A3))"),5915.15)</f>
        <v>5915.15</v>
      </c>
      <c r="J3" s="2">
        <f t="shared" si="2"/>
        <v>132.63</v>
      </c>
      <c r="K3" s="2">
        <f t="shared" si="3"/>
        <v>128.5902174</v>
      </c>
    </row>
    <row r="4">
      <c r="A4" s="1" t="s">
        <v>9</v>
      </c>
      <c r="B4" s="3">
        <v>3.0</v>
      </c>
      <c r="C4" s="1">
        <v>2019.0</v>
      </c>
      <c r="D4" s="5">
        <f>IF(A4 = "", "", COUNTIFS('Game Record'!G:G, A4, 'Game Record'!E:E, C4))</f>
        <v>8</v>
      </c>
      <c r="E4" s="6">
        <f>IF(A4 = "", "", COUNTIFS('Game Record'!H:H, A4, 'Game Record'!E:E, C4))</f>
        <v>8</v>
      </c>
      <c r="F4" s="2">
        <f t="shared" si="1"/>
        <v>2274.35</v>
      </c>
      <c r="G4" s="1">
        <f>IF(A4 = "", "", COUNTIF('Game Record'!G:G, A4))</f>
        <v>27</v>
      </c>
      <c r="H4" s="6">
        <f>IF(A4 = "", "", COUNTIF('Game Record'!H:H, A4))</f>
        <v>21</v>
      </c>
      <c r="I4" s="2">
        <f>IFERROR(__xludf.DUMMYFUNCTION("SUM(FILTER(TeamARecordSet, INDEX(TeamARecordSet, 0, 1) = A4)) + SUM(FILTER(TeamBRecordSet, INDEX(TeamBRecordSet, 0, 1) = A4))"),6585.0999999999985)</f>
        <v>6585.1</v>
      </c>
      <c r="J4" s="2">
        <f t="shared" si="2"/>
        <v>142.146875</v>
      </c>
      <c r="K4" s="2">
        <f t="shared" si="3"/>
        <v>137.1895833</v>
      </c>
    </row>
    <row r="5">
      <c r="A5" s="1" t="s">
        <v>11</v>
      </c>
      <c r="B5" s="3">
        <v>4.0</v>
      </c>
      <c r="C5" s="1">
        <v>2019.0</v>
      </c>
      <c r="D5" s="5">
        <f>IF(A5 = "", "", COUNTIFS('Game Record'!G:G, A5, 'Game Record'!E:E, C5))</f>
        <v>8</v>
      </c>
      <c r="E5" s="6">
        <f>IF(A5 = "", "", COUNTIFS('Game Record'!H:H, A5, 'Game Record'!E:E, C5))</f>
        <v>7</v>
      </c>
      <c r="F5" s="2">
        <f t="shared" si="1"/>
        <v>1808.5</v>
      </c>
      <c r="G5" s="1">
        <f>IF(A5 = "", "", COUNTIF('Game Record'!G:G, A5))</f>
        <v>22</v>
      </c>
      <c r="H5" s="6">
        <f>IF(A5 = "", "", COUNTIF('Game Record'!H:H, A5))</f>
        <v>24</v>
      </c>
      <c r="I5" s="2">
        <f>IFERROR(__xludf.DUMMYFUNCTION("SUM(FILTER(TeamARecordSet, INDEX(TeamARecordSet, 0, 1) = A5)) + SUM(FILTER(TeamBRecordSet, INDEX(TeamBRecordSet, 0, 1) = A5))"),5774.249999999999)</f>
        <v>5774.25</v>
      </c>
      <c r="J5" s="2">
        <f t="shared" si="2"/>
        <v>120.5666667</v>
      </c>
      <c r="K5" s="2">
        <f t="shared" si="3"/>
        <v>125.5271739</v>
      </c>
    </row>
    <row r="6">
      <c r="A6" s="1" t="s">
        <v>8</v>
      </c>
      <c r="B6" s="3">
        <v>5.0</v>
      </c>
      <c r="C6" s="1">
        <v>2019.0</v>
      </c>
      <c r="D6" s="5">
        <f>IF(A6 = "", "", COUNTIFS('Game Record'!G:G, A6, 'Game Record'!E:E, C6))</f>
        <v>11</v>
      </c>
      <c r="E6" s="6">
        <f>IF(A6 = "", "", COUNTIFS('Game Record'!H:H, A6, 'Game Record'!E:E, C6))</f>
        <v>4</v>
      </c>
      <c r="F6" s="2">
        <f t="shared" si="1"/>
        <v>2149.05</v>
      </c>
      <c r="G6" s="1">
        <f>IF(A6 = "", "", COUNTIF('Game Record'!G:G, A6))</f>
        <v>24</v>
      </c>
      <c r="H6" s="6">
        <f>IF(A6 = "", "", COUNTIF('Game Record'!H:H, A6))</f>
        <v>22</v>
      </c>
      <c r="I6" s="2">
        <f>IFERROR(__xludf.DUMMYFUNCTION("SUM(FILTER(TeamARecordSet, INDEX(TeamARecordSet, 0, 1) = A6)) + SUM(FILTER(TeamBRecordSet, INDEX(TeamBRecordSet, 0, 1) = A6))"),6113.9)</f>
        <v>6113.9</v>
      </c>
      <c r="J6" s="2">
        <f t="shared" si="2"/>
        <v>143.27</v>
      </c>
      <c r="K6" s="2">
        <f t="shared" si="3"/>
        <v>132.9108696</v>
      </c>
    </row>
    <row r="7">
      <c r="A7" s="1" t="s">
        <v>15</v>
      </c>
      <c r="B7" s="3">
        <v>6.0</v>
      </c>
      <c r="C7" s="1">
        <v>2019.0</v>
      </c>
      <c r="D7" s="5">
        <f>IF(A7 = "", "", COUNTIFS('Game Record'!G:G, A7, 'Game Record'!E:E, C7))</f>
        <v>9</v>
      </c>
      <c r="E7" s="6">
        <f>IF(A7 = "", "", COUNTIFS('Game Record'!H:H, A7, 'Game Record'!E:E, C7))</f>
        <v>6</v>
      </c>
      <c r="F7" s="2">
        <f t="shared" si="1"/>
        <v>1932.5</v>
      </c>
      <c r="G7" s="1">
        <f>IF(A7 = "", "", COUNTIF('Game Record'!G:G, A7))</f>
        <v>22</v>
      </c>
      <c r="H7" s="6">
        <f>IF(A7 = "", "", COUNTIF('Game Record'!H:H, A7))</f>
        <v>25</v>
      </c>
      <c r="I7" s="2">
        <f>IFERROR(__xludf.DUMMYFUNCTION("SUM(FILTER(TeamARecordSet, INDEX(TeamARecordSet, 0, 1) = A7)) + SUM(FILTER(TeamBRecordSet, INDEX(TeamBRecordSet, 0, 1) = A7))"),5792.75)</f>
        <v>5792.75</v>
      </c>
      <c r="J7" s="2">
        <f t="shared" si="2"/>
        <v>128.8333333</v>
      </c>
      <c r="K7" s="2">
        <f t="shared" si="3"/>
        <v>123.25</v>
      </c>
    </row>
    <row r="8">
      <c r="A8" s="1" t="s">
        <v>17</v>
      </c>
      <c r="B8" s="3">
        <v>7.0</v>
      </c>
      <c r="C8" s="1">
        <v>2019.0</v>
      </c>
      <c r="D8" s="5">
        <f>IF(A8 = "", "", COUNTIFS('Game Record'!G:G, A8, 'Game Record'!E:E, C8))</f>
        <v>6</v>
      </c>
      <c r="E8" s="6">
        <f>IF(A8 = "", "", COUNTIFS('Game Record'!H:H, A8, 'Game Record'!E:E, C8))</f>
        <v>9</v>
      </c>
      <c r="F8" s="2">
        <f t="shared" si="1"/>
        <v>1729.15</v>
      </c>
      <c r="G8" s="1">
        <f>IF(A8 = "", "", COUNTIF('Game Record'!G:G, A8))</f>
        <v>6</v>
      </c>
      <c r="H8" s="6">
        <f>IF(A8 = "", "", COUNTIF('Game Record'!H:H, A8))</f>
        <v>9</v>
      </c>
      <c r="I8" s="2">
        <f>IFERROR(__xludf.DUMMYFUNCTION("SUM(FILTER(TeamARecordSet, INDEX(TeamARecordSet, 0, 1) = A8)) + SUM(FILTER(TeamBRecordSet, INDEX(TeamBRecordSet, 0, 1) = A8))"),1729.1499999999999)</f>
        <v>1729.15</v>
      </c>
      <c r="J8" s="2">
        <f t="shared" si="2"/>
        <v>115.2766667</v>
      </c>
      <c r="K8" s="2">
        <f t="shared" si="3"/>
        <v>115.2766667</v>
      </c>
    </row>
    <row r="9">
      <c r="A9" s="1" t="s">
        <v>13</v>
      </c>
      <c r="B9" s="3">
        <v>8.0</v>
      </c>
      <c r="C9" s="1">
        <v>2019.0</v>
      </c>
      <c r="D9" s="5">
        <f>IF(A9 = "", "", COUNTIFS('Game Record'!G:G, A9, 'Game Record'!E:E, C9))</f>
        <v>6</v>
      </c>
      <c r="E9" s="6">
        <f>IF(A9 = "", "", COUNTIFS('Game Record'!H:H, A9, 'Game Record'!E:E, C9))</f>
        <v>9</v>
      </c>
      <c r="F9" s="2">
        <f t="shared" si="1"/>
        <v>1718.05</v>
      </c>
      <c r="G9" s="1">
        <f>IF(A9 = "", "", COUNTIF('Game Record'!G:G, A9))</f>
        <v>6</v>
      </c>
      <c r="H9" s="6">
        <f>IF(A9 = "", "", COUNTIF('Game Record'!H:H, A9))</f>
        <v>9</v>
      </c>
      <c r="I9" s="2">
        <f>IFERROR(__xludf.DUMMYFUNCTION("SUM(FILTER(TeamARecordSet, INDEX(TeamARecordSet, 0, 1) = A9)) + SUM(FILTER(TeamBRecordSet, INDEX(TeamBRecordSet, 0, 1) = A9))"),1718.05)</f>
        <v>1718.05</v>
      </c>
      <c r="J9" s="2">
        <f t="shared" si="2"/>
        <v>114.5366667</v>
      </c>
      <c r="K9" s="2">
        <f t="shared" si="3"/>
        <v>114.5366667</v>
      </c>
    </row>
    <row r="10">
      <c r="A10" s="1" t="s">
        <v>16</v>
      </c>
      <c r="B10" s="3">
        <v>9.0</v>
      </c>
      <c r="C10" s="1">
        <v>2019.0</v>
      </c>
      <c r="D10" s="5">
        <f>IF(A10 = "", "", COUNTIFS('Game Record'!G:G, A10, 'Game Record'!E:E, C10))</f>
        <v>5</v>
      </c>
      <c r="E10" s="6">
        <f>IF(A10 = "", "", COUNTIFS('Game Record'!H:H, A10, 'Game Record'!E:E, C10))</f>
        <v>10</v>
      </c>
      <c r="F10" s="2">
        <f t="shared" si="1"/>
        <v>1653.3</v>
      </c>
      <c r="G10" s="1">
        <f>IF(A10 = "", "", COUNTIF('Game Record'!G:G, A10))</f>
        <v>24</v>
      </c>
      <c r="H10" s="6">
        <f>IF(A10 = "", "", COUNTIF('Game Record'!H:H, A10))</f>
        <v>23</v>
      </c>
      <c r="I10" s="2">
        <f>IFERROR(__xludf.DUMMYFUNCTION("SUM(FILTER(TeamARecordSet, INDEX(TeamARecordSet, 0, 1) = A10)) + SUM(FILTER(TeamBRecordSet, INDEX(TeamBRecordSet, 0, 1) = A10))"),5701.35)</f>
        <v>5701.35</v>
      </c>
      <c r="J10" s="2">
        <f t="shared" si="2"/>
        <v>110.22</v>
      </c>
      <c r="K10" s="2">
        <f t="shared" si="3"/>
        <v>121.3053191</v>
      </c>
    </row>
    <row r="11">
      <c r="A11" s="1" t="s">
        <v>12</v>
      </c>
      <c r="B11" s="3">
        <v>10.0</v>
      </c>
      <c r="C11" s="1">
        <v>2019.0</v>
      </c>
      <c r="D11" s="5">
        <f>IF(A11 = "", "", COUNTIFS('Game Record'!G:G, A11, 'Game Record'!E:E, C11))</f>
        <v>4</v>
      </c>
      <c r="E11" s="6">
        <f>IF(A11 = "", "", COUNTIFS('Game Record'!H:H, A11, 'Game Record'!E:E, C11))</f>
        <v>11</v>
      </c>
      <c r="F11" s="2">
        <f t="shared" si="1"/>
        <v>1524.8</v>
      </c>
      <c r="G11" s="1">
        <f>IF(A11 = "", "", COUNTIF('Game Record'!G:G, A11))</f>
        <v>13</v>
      </c>
      <c r="H11" s="6">
        <f>IF(A11 = "", "", COUNTIF('Game Record'!H:H, A11))</f>
        <v>33</v>
      </c>
      <c r="I11" s="2">
        <f>IFERROR(__xludf.DUMMYFUNCTION("SUM(FILTER(TeamARecordSet, INDEX(TeamARecordSet, 0, 1) = A11)) + SUM(FILTER(TeamBRecordSet, INDEX(TeamBRecordSet, 0, 1) = A11))"),5045.25)</f>
        <v>5045.25</v>
      </c>
      <c r="J11" s="2">
        <f t="shared" si="2"/>
        <v>101.6533333</v>
      </c>
      <c r="K11" s="2">
        <f t="shared" si="3"/>
        <v>109.6793478</v>
      </c>
    </row>
    <row r="12">
      <c r="A12" s="1" t="s">
        <v>14</v>
      </c>
      <c r="B12" s="3">
        <v>3.0</v>
      </c>
      <c r="C12" s="1">
        <v>2020.0</v>
      </c>
      <c r="D12" s="5">
        <f>IF(A12 = "", "", COUNTIFS('Game Record'!G:G, A12, 'Game Record'!E:E, C12))</f>
        <v>10</v>
      </c>
      <c r="E12" s="6">
        <f>IF(A12 = "", "", COUNTIFS('Game Record'!H:H, A12, 'Game Record'!E:E, C12))</f>
        <v>5</v>
      </c>
      <c r="F12" s="2">
        <f t="shared" si="1"/>
        <v>2173.1</v>
      </c>
      <c r="G12" s="1">
        <f>IF(A12 = "", "", COUNTIF('Game Record'!G:G, A12))</f>
        <v>28</v>
      </c>
      <c r="H12" s="6">
        <f>IF(A12 = "", "", COUNTIF('Game Record'!H:H, A12))</f>
        <v>20</v>
      </c>
      <c r="I12" s="2">
        <f>IFERROR(__xludf.DUMMYFUNCTION("SUM(FILTER(TeamARecordSet, INDEX(TeamARecordSet, 0, 1) = A12)) + SUM(FILTER(TeamBRecordSet, INDEX(TeamBRecordSet, 0, 1) = A12))"),6498.450000000001)</f>
        <v>6498.45</v>
      </c>
      <c r="J12" s="2">
        <f t="shared" si="2"/>
        <v>144.8733333</v>
      </c>
      <c r="K12" s="2">
        <f t="shared" si="3"/>
        <v>135.384375</v>
      </c>
    </row>
    <row r="13">
      <c r="A13" s="1" t="s">
        <v>10</v>
      </c>
      <c r="B13" s="3">
        <v>1.0</v>
      </c>
      <c r="C13" s="1">
        <v>2020.0</v>
      </c>
      <c r="D13" s="5">
        <f>IF(A13 = "", "", COUNTIFS('Game Record'!G:G, A13, 'Game Record'!E:E, C13))</f>
        <v>11</v>
      </c>
      <c r="E13" s="6">
        <f>IF(A13 = "", "", COUNTIFS('Game Record'!H:H, A13, 'Game Record'!E:E, C13))</f>
        <v>4</v>
      </c>
      <c r="F13" s="2">
        <f t="shared" si="1"/>
        <v>2025.15</v>
      </c>
      <c r="G13" s="1">
        <f>IF(A13 = "", "", COUNTIF('Game Record'!G:G, A13))</f>
        <v>31</v>
      </c>
      <c r="H13" s="6">
        <f>IF(A13 = "", "", COUNTIF('Game Record'!H:H, A13))</f>
        <v>15</v>
      </c>
      <c r="I13" s="2">
        <f>IFERROR(__xludf.DUMMYFUNCTION("SUM(FILTER(TeamARecordSet, INDEX(TeamARecordSet, 0, 1) = A13)) + SUM(FILTER(TeamBRecordSet, INDEX(TeamBRecordSet, 0, 1) = A13))"),5915.15)</f>
        <v>5915.15</v>
      </c>
      <c r="J13" s="2">
        <f t="shared" si="2"/>
        <v>135.01</v>
      </c>
      <c r="K13" s="2">
        <f t="shared" si="3"/>
        <v>128.5902174</v>
      </c>
    </row>
    <row r="14">
      <c r="A14" s="1" t="s">
        <v>8</v>
      </c>
      <c r="B14" s="3">
        <v>8.0</v>
      </c>
      <c r="C14" s="1">
        <v>2020.0</v>
      </c>
      <c r="D14" s="5">
        <f>IF(A14 = "", "", COUNTIFS('Game Record'!G:G, A14, 'Game Record'!E:E, C14))</f>
        <v>5</v>
      </c>
      <c r="E14" s="6">
        <f>IF(A14 = "", "", COUNTIFS('Game Record'!H:H, A14, 'Game Record'!E:E, C14))</f>
        <v>10</v>
      </c>
      <c r="F14" s="2">
        <f t="shared" si="1"/>
        <v>1837</v>
      </c>
      <c r="G14" s="1">
        <f>IF(A14 = "", "", COUNTIF('Game Record'!G:G, A14))</f>
        <v>24</v>
      </c>
      <c r="H14" s="6">
        <f>IF(A14 = "", "", COUNTIF('Game Record'!H:H, A14))</f>
        <v>22</v>
      </c>
      <c r="I14" s="2">
        <f>IFERROR(__xludf.DUMMYFUNCTION("SUM(FILTER(TeamARecordSet, INDEX(TeamARecordSet, 0, 1) = A14)) + SUM(FILTER(TeamBRecordSet, INDEX(TeamBRecordSet, 0, 1) = A14))"),6113.9)</f>
        <v>6113.9</v>
      </c>
      <c r="J14" s="2">
        <f t="shared" si="2"/>
        <v>122.4666667</v>
      </c>
      <c r="K14" s="2">
        <f t="shared" si="3"/>
        <v>132.9108696</v>
      </c>
    </row>
    <row r="15">
      <c r="A15" s="1" t="s">
        <v>9</v>
      </c>
      <c r="B15" s="3">
        <v>2.0</v>
      </c>
      <c r="C15" s="1">
        <v>2020.0</v>
      </c>
      <c r="D15" s="5">
        <f>IF(A15 = "", "", COUNTIFS('Game Record'!G:G, A15, 'Game Record'!E:E, C15))</f>
        <v>8</v>
      </c>
      <c r="E15" s="6">
        <f>IF(A15 = "", "", COUNTIFS('Game Record'!H:H, A15, 'Game Record'!E:E, C15))</f>
        <v>8</v>
      </c>
      <c r="F15" s="2">
        <f t="shared" si="1"/>
        <v>2022</v>
      </c>
      <c r="G15" s="1">
        <f>IF(A15 = "", "", COUNTIF('Game Record'!G:G, A15))</f>
        <v>27</v>
      </c>
      <c r="H15" s="6">
        <f>IF(A15 = "", "", COUNTIF('Game Record'!H:H, A15))</f>
        <v>21</v>
      </c>
      <c r="I15" s="2">
        <f>IFERROR(__xludf.DUMMYFUNCTION("SUM(FILTER(TeamARecordSet, INDEX(TeamARecordSet, 0, 1) = A15)) + SUM(FILTER(TeamBRecordSet, INDEX(TeamBRecordSet, 0, 1) = A15))"),6585.0999999999985)</f>
        <v>6585.1</v>
      </c>
      <c r="J15" s="2">
        <f t="shared" si="2"/>
        <v>126.375</v>
      </c>
      <c r="K15" s="2">
        <f t="shared" si="3"/>
        <v>137.1895833</v>
      </c>
    </row>
    <row r="16">
      <c r="A16" s="1" t="s">
        <v>12</v>
      </c>
      <c r="B16" s="3">
        <v>10.0</v>
      </c>
      <c r="C16" s="1">
        <v>2020.0</v>
      </c>
      <c r="D16" s="5">
        <f>IF(A16 = "", "", COUNTIFS('Game Record'!G:G, A16, 'Game Record'!E:E, C16))</f>
        <v>6</v>
      </c>
      <c r="E16" s="6">
        <f>IF(A16 = "", "", COUNTIFS('Game Record'!H:H, A16, 'Game Record'!E:E, C16))</f>
        <v>9</v>
      </c>
      <c r="F16" s="2">
        <f t="shared" si="1"/>
        <v>1886.05</v>
      </c>
      <c r="G16" s="1">
        <f>IF(A16 = "", "", COUNTIF('Game Record'!G:G, A16))</f>
        <v>13</v>
      </c>
      <c r="H16" s="6">
        <f>IF(A16 = "", "", COUNTIF('Game Record'!H:H, A16))</f>
        <v>33</v>
      </c>
      <c r="I16" s="2">
        <f>IFERROR(__xludf.DUMMYFUNCTION("SUM(FILTER(TeamARecordSet, INDEX(TeamARecordSet, 0, 1) = A16)) + SUM(FILTER(TeamBRecordSet, INDEX(TeamBRecordSet, 0, 1) = A16))"),5045.25)</f>
        <v>5045.25</v>
      </c>
      <c r="J16" s="2">
        <f t="shared" si="2"/>
        <v>125.7366667</v>
      </c>
      <c r="K16" s="2">
        <f t="shared" si="3"/>
        <v>109.6793478</v>
      </c>
    </row>
    <row r="17">
      <c r="A17" s="1" t="s">
        <v>11</v>
      </c>
      <c r="B17" s="3">
        <v>6.0</v>
      </c>
      <c r="C17" s="1">
        <v>2020.0</v>
      </c>
      <c r="D17" s="5">
        <f>IF(A17 = "", "", COUNTIFS('Game Record'!G:G, A17, 'Game Record'!E:E, C17))</f>
        <v>6</v>
      </c>
      <c r="E17" s="6">
        <f>IF(A17 = "", "", COUNTIFS('Game Record'!H:H, A17, 'Game Record'!E:E, C17))</f>
        <v>9</v>
      </c>
      <c r="F17" s="2">
        <f t="shared" si="1"/>
        <v>1740.45</v>
      </c>
      <c r="G17" s="1">
        <f>IF(A17 = "", "", COUNTIF('Game Record'!G:G, A17))</f>
        <v>22</v>
      </c>
      <c r="H17" s="6">
        <f>IF(A17 = "", "", COUNTIF('Game Record'!H:H, A17))</f>
        <v>24</v>
      </c>
      <c r="I17" s="2">
        <f>IFERROR(__xludf.DUMMYFUNCTION("SUM(FILTER(TeamARecordSet, INDEX(TeamARecordSet, 0, 1) = A17)) + SUM(FILTER(TeamBRecordSet, INDEX(TeamBRecordSet, 0, 1) = A17))"),5774.249999999999)</f>
        <v>5774.25</v>
      </c>
      <c r="J17" s="2">
        <f t="shared" si="2"/>
        <v>116.03</v>
      </c>
      <c r="K17" s="2">
        <f t="shared" si="3"/>
        <v>125.5271739</v>
      </c>
    </row>
    <row r="18">
      <c r="A18" s="1" t="s">
        <v>18</v>
      </c>
      <c r="B18" s="3">
        <v>7.0</v>
      </c>
      <c r="C18" s="1">
        <v>2020.0</v>
      </c>
      <c r="D18" s="5">
        <f>IF(A18 = "", "", COUNTIFS('Game Record'!G:G, A18, 'Game Record'!E:E, C18))</f>
        <v>5</v>
      </c>
      <c r="E18" s="6">
        <f>IF(A18 = "", "", COUNTIFS('Game Record'!H:H, A18, 'Game Record'!E:E, C18))</f>
        <v>10</v>
      </c>
      <c r="F18" s="2">
        <f t="shared" si="1"/>
        <v>1806.8</v>
      </c>
      <c r="G18" s="1">
        <f>IF(A18 = "", "", COUNTIF('Game Record'!G:G, A18))</f>
        <v>15</v>
      </c>
      <c r="H18" s="6">
        <f>IF(A18 = "", "", COUNTIF('Game Record'!H:H, A18))</f>
        <v>16</v>
      </c>
      <c r="I18" s="2">
        <f>IFERROR(__xludf.DUMMYFUNCTION("SUM(FILTER(TeamARecordSet, INDEX(TeamARecordSet, 0, 1) = A18)) + SUM(FILTER(TeamBRecordSet, INDEX(TeamBRecordSet, 0, 1) = A18))"),3779.55)</f>
        <v>3779.55</v>
      </c>
      <c r="J18" s="2">
        <f t="shared" si="2"/>
        <v>120.4533333</v>
      </c>
      <c r="K18" s="2">
        <f t="shared" si="3"/>
        <v>121.9209677</v>
      </c>
    </row>
    <row r="19">
      <c r="A19" s="1" t="s">
        <v>19</v>
      </c>
      <c r="B19" s="3">
        <v>9.0</v>
      </c>
      <c r="C19" s="1">
        <v>2020.0</v>
      </c>
      <c r="D19" s="5">
        <f>IF(A19 = "", "", COUNTIFS('Game Record'!G:G, A19, 'Game Record'!E:E, C19))</f>
        <v>7</v>
      </c>
      <c r="E19" s="6">
        <f>IF(A19 = "", "", COUNTIFS('Game Record'!H:H, A19, 'Game Record'!E:E, C19))</f>
        <v>8</v>
      </c>
      <c r="F19" s="2">
        <f t="shared" si="1"/>
        <v>1836.35</v>
      </c>
      <c r="G19" s="1">
        <f>IF(A19 = "", "", COUNTIF('Game Record'!G:G, A19))</f>
        <v>15</v>
      </c>
      <c r="H19" s="6">
        <f>IF(A19 = "", "", COUNTIF('Game Record'!H:H, A19))</f>
        <v>16</v>
      </c>
      <c r="I19" s="2">
        <f>IFERROR(__xludf.DUMMYFUNCTION("SUM(FILTER(TeamARecordSet, INDEX(TeamARecordSet, 0, 1) = A19)) + SUM(FILTER(TeamBRecordSet, INDEX(TeamBRecordSet, 0, 1) = A19))"),3759.1000000000004)</f>
        <v>3759.1</v>
      </c>
      <c r="J19" s="2">
        <f t="shared" si="2"/>
        <v>122.4233333</v>
      </c>
      <c r="K19" s="2">
        <f t="shared" si="3"/>
        <v>121.2612903</v>
      </c>
    </row>
    <row r="20">
      <c r="A20" s="1" t="s">
        <v>15</v>
      </c>
      <c r="B20" s="3">
        <v>4.0</v>
      </c>
      <c r="C20" s="1">
        <v>2020.0</v>
      </c>
      <c r="D20" s="5">
        <f>IF(A20 = "", "", COUNTIFS('Game Record'!G:G, A20, 'Game Record'!E:E, C20))</f>
        <v>9</v>
      </c>
      <c r="E20" s="6">
        <f>IF(A20 = "", "", COUNTIFS('Game Record'!H:H, A20, 'Game Record'!E:E, C20))</f>
        <v>7</v>
      </c>
      <c r="F20" s="2">
        <f t="shared" si="1"/>
        <v>2013.2</v>
      </c>
      <c r="G20" s="1">
        <f>IF(A20 = "", "", COUNTIF('Game Record'!G:G, A20))</f>
        <v>22</v>
      </c>
      <c r="H20" s="6">
        <f>IF(A20 = "", "", COUNTIF('Game Record'!H:H, A20))</f>
        <v>25</v>
      </c>
      <c r="I20" s="2">
        <f>IFERROR(__xludf.DUMMYFUNCTION("SUM(FILTER(TeamARecordSet, INDEX(TeamARecordSet, 0, 1) = A20)) + SUM(FILTER(TeamBRecordSet, INDEX(TeamBRecordSet, 0, 1) = A20))"),5792.75)</f>
        <v>5792.75</v>
      </c>
      <c r="J20" s="2">
        <f t="shared" si="2"/>
        <v>125.825</v>
      </c>
      <c r="K20" s="2">
        <f t="shared" si="3"/>
        <v>123.25</v>
      </c>
    </row>
    <row r="21">
      <c r="A21" s="1" t="s">
        <v>16</v>
      </c>
      <c r="B21" s="3">
        <v>5.0</v>
      </c>
      <c r="C21" s="1">
        <v>2020.0</v>
      </c>
      <c r="D21" s="5">
        <f>IF(A21 = "", "", COUNTIFS('Game Record'!G:G, A21, 'Game Record'!E:E, C21))</f>
        <v>9</v>
      </c>
      <c r="E21" s="6">
        <f>IF(A21 = "", "", COUNTIFS('Game Record'!H:H, A21, 'Game Record'!E:E, C21))</f>
        <v>6</v>
      </c>
      <c r="F21" s="2">
        <f t="shared" si="1"/>
        <v>1816.5</v>
      </c>
      <c r="G21" s="1">
        <f>IF(A21 = "", "", COUNTIF('Game Record'!G:G, A21))</f>
        <v>24</v>
      </c>
      <c r="H21" s="6">
        <f>IF(A21 = "", "", COUNTIF('Game Record'!H:H, A21))</f>
        <v>23</v>
      </c>
      <c r="I21" s="2">
        <f>IFERROR(__xludf.DUMMYFUNCTION("SUM(FILTER(TeamARecordSet, INDEX(TeamARecordSet, 0, 1) = A21)) + SUM(FILTER(TeamBRecordSet, INDEX(TeamBRecordSet, 0, 1) = A21))"),5701.35)</f>
        <v>5701.35</v>
      </c>
      <c r="J21" s="2">
        <f t="shared" si="2"/>
        <v>121.1</v>
      </c>
      <c r="K21" s="2">
        <f t="shared" si="3"/>
        <v>121.3053191</v>
      </c>
    </row>
    <row r="22">
      <c r="A22" s="1" t="s">
        <v>8</v>
      </c>
      <c r="B22" s="3">
        <v>8.0</v>
      </c>
      <c r="C22" s="1">
        <v>2021.0</v>
      </c>
      <c r="D22" s="5">
        <f>IF(A22 = "", "", COUNTIFS('Game Record'!G:G, A22, 'Game Record'!E:E, C22))</f>
        <v>8</v>
      </c>
      <c r="E22" s="6">
        <f>IF(A22 = "", "", COUNTIFS('Game Record'!H:H, A22, 'Game Record'!E:E, C22))</f>
        <v>8</v>
      </c>
      <c r="F22" s="2">
        <f t="shared" si="1"/>
        <v>2127.85</v>
      </c>
      <c r="G22" s="1">
        <f>IF(A22 = "", "", COUNTIF('Game Record'!G:G, A22))</f>
        <v>24</v>
      </c>
      <c r="H22" s="6">
        <f>IF(A22 = "", "", COUNTIF('Game Record'!H:H, A22))</f>
        <v>22</v>
      </c>
      <c r="I22" s="2">
        <f>IFERROR(__xludf.DUMMYFUNCTION("SUM(FILTER(TeamARecordSet, INDEX(TeamARecordSet, 0, 1) = A22)) + SUM(FILTER(TeamBRecordSet, INDEX(TeamBRecordSet, 0, 1) = A22))"),6113.9)</f>
        <v>6113.9</v>
      </c>
      <c r="J22" s="2">
        <f t="shared" si="2"/>
        <v>132.990625</v>
      </c>
      <c r="K22" s="2">
        <f t="shared" si="3"/>
        <v>132.9108696</v>
      </c>
    </row>
    <row r="23">
      <c r="A23" s="1" t="s">
        <v>9</v>
      </c>
      <c r="B23" s="3">
        <v>1.0</v>
      </c>
      <c r="C23" s="1">
        <v>2021.0</v>
      </c>
      <c r="D23" s="5">
        <f>IF(A23 = "", "", COUNTIFS('Game Record'!G:G, A23, 'Game Record'!E:E, C23))</f>
        <v>11</v>
      </c>
      <c r="E23" s="6">
        <f>IF(A23 = "", "", COUNTIFS('Game Record'!H:H, A23, 'Game Record'!E:E, C23))</f>
        <v>5</v>
      </c>
      <c r="F23" s="2">
        <f t="shared" si="1"/>
        <v>2288.75</v>
      </c>
      <c r="G23" s="1">
        <f>IF(A23 = "", "", COUNTIF('Game Record'!G:G, A23))</f>
        <v>27</v>
      </c>
      <c r="H23" s="6">
        <f>IF(A23 = "", "", COUNTIF('Game Record'!H:H, A23))</f>
        <v>21</v>
      </c>
      <c r="I23" s="2">
        <f>IFERROR(__xludf.DUMMYFUNCTION("SUM(FILTER(TeamARecordSet, INDEX(TeamARecordSet, 0, 1) = A23)) + SUM(FILTER(TeamBRecordSet, INDEX(TeamBRecordSet, 0, 1) = A23))"),6585.0999999999985)</f>
        <v>6585.1</v>
      </c>
      <c r="J23" s="2">
        <f t="shared" si="2"/>
        <v>143.046875</v>
      </c>
      <c r="K23" s="2">
        <f t="shared" si="3"/>
        <v>137.1895833</v>
      </c>
    </row>
    <row r="24">
      <c r="A24" s="1" t="s">
        <v>14</v>
      </c>
      <c r="B24" s="3">
        <v>4.0</v>
      </c>
      <c r="C24" s="1">
        <v>2021.0</v>
      </c>
      <c r="D24" s="5">
        <f>IF(A24 = "", "", COUNTIFS('Game Record'!G:G, A24, 'Game Record'!E:E, C24))</f>
        <v>10</v>
      </c>
      <c r="E24" s="6">
        <f>IF(A24 = "", "", COUNTIFS('Game Record'!H:H, A24, 'Game Record'!E:E, C24))</f>
        <v>7</v>
      </c>
      <c r="F24" s="2">
        <f t="shared" si="1"/>
        <v>2234.55</v>
      </c>
      <c r="G24" s="1">
        <f>IF(A24 = "", "", COUNTIF('Game Record'!G:G, A24))</f>
        <v>28</v>
      </c>
      <c r="H24" s="6">
        <f>IF(A24 = "", "", COUNTIF('Game Record'!H:H, A24))</f>
        <v>20</v>
      </c>
      <c r="I24" s="2">
        <f>IFERROR(__xludf.DUMMYFUNCTION("SUM(FILTER(TeamARecordSet, INDEX(TeamARecordSet, 0, 1) = A24)) + SUM(FILTER(TeamBRecordSet, INDEX(TeamBRecordSet, 0, 1) = A24))"),6498.450000000001)</f>
        <v>6498.45</v>
      </c>
      <c r="J24" s="2">
        <f t="shared" si="2"/>
        <v>131.4441176</v>
      </c>
      <c r="K24" s="2">
        <f t="shared" si="3"/>
        <v>135.384375</v>
      </c>
    </row>
    <row r="25">
      <c r="A25" s="1" t="s">
        <v>12</v>
      </c>
      <c r="B25" s="3">
        <v>10.0</v>
      </c>
      <c r="C25" s="1">
        <v>2021.0</v>
      </c>
      <c r="D25" s="5">
        <f>IF(A25 = "", "", COUNTIFS('Game Record'!G:G, A25, 'Game Record'!E:E, C25))</f>
        <v>3</v>
      </c>
      <c r="E25" s="6">
        <f>IF(A25 = "", "", COUNTIFS('Game Record'!H:H, A25, 'Game Record'!E:E, C25))</f>
        <v>13</v>
      </c>
      <c r="F25" s="2">
        <f t="shared" si="1"/>
        <v>1634.4</v>
      </c>
      <c r="G25" s="1">
        <f>IF(A25 = "", "", COUNTIF('Game Record'!G:G, A25))</f>
        <v>13</v>
      </c>
      <c r="H25" s="6">
        <f>IF(A25 = "", "", COUNTIF('Game Record'!H:H, A25))</f>
        <v>33</v>
      </c>
      <c r="I25" s="2">
        <f>IFERROR(__xludf.DUMMYFUNCTION("SUM(FILTER(TeamARecordSet, INDEX(TeamARecordSet, 0, 1) = A25)) + SUM(FILTER(TeamBRecordSet, INDEX(TeamBRecordSet, 0, 1) = A25))"),5045.25)</f>
        <v>5045.25</v>
      </c>
      <c r="J25" s="2">
        <f t="shared" si="2"/>
        <v>102.15</v>
      </c>
      <c r="K25" s="2">
        <f t="shared" si="3"/>
        <v>109.6793478</v>
      </c>
    </row>
    <row r="26">
      <c r="A26" s="1" t="s">
        <v>11</v>
      </c>
      <c r="B26" s="3">
        <v>5.0</v>
      </c>
      <c r="C26" s="1">
        <v>2021.0</v>
      </c>
      <c r="D26" s="5">
        <f>IF(A26 = "", "", COUNTIFS('Game Record'!G:G, A26, 'Game Record'!E:E, C26))</f>
        <v>8</v>
      </c>
      <c r="E26" s="6">
        <f>IF(A26 = "", "", COUNTIFS('Game Record'!H:H, A26, 'Game Record'!E:E, C26))</f>
        <v>8</v>
      </c>
      <c r="F26" s="2">
        <f t="shared" si="1"/>
        <v>2225.3</v>
      </c>
      <c r="G26" s="1">
        <f>IF(A26 = "", "", COUNTIF('Game Record'!G:G, A26))</f>
        <v>22</v>
      </c>
      <c r="H26" s="6">
        <f>IF(A26 = "", "", COUNTIF('Game Record'!H:H, A26))</f>
        <v>24</v>
      </c>
      <c r="I26" s="2">
        <f>IFERROR(__xludf.DUMMYFUNCTION("SUM(FILTER(TeamARecordSet, INDEX(TeamARecordSet, 0, 1) = A26)) + SUM(FILTER(TeamBRecordSet, INDEX(TeamBRecordSet, 0, 1) = A26))"),5774.249999999999)</f>
        <v>5774.25</v>
      </c>
      <c r="J26" s="2">
        <f t="shared" si="2"/>
        <v>139.08125</v>
      </c>
      <c r="K26" s="2">
        <f t="shared" si="3"/>
        <v>125.5271739</v>
      </c>
    </row>
    <row r="27">
      <c r="A27" s="1" t="s">
        <v>10</v>
      </c>
      <c r="B27" s="3">
        <v>6.0</v>
      </c>
      <c r="C27" s="1">
        <v>2021.0</v>
      </c>
      <c r="D27" s="5">
        <f>IF(A27 = "", "", COUNTIFS('Game Record'!G:G, A27, 'Game Record'!E:E, C27))</f>
        <v>9</v>
      </c>
      <c r="E27" s="6">
        <f>IF(A27 = "", "", COUNTIFS('Game Record'!H:H, A27, 'Game Record'!E:E, C27))</f>
        <v>7</v>
      </c>
      <c r="F27" s="2">
        <f t="shared" si="1"/>
        <v>1900.55</v>
      </c>
      <c r="G27" s="1">
        <f>IF(A27 = "", "", COUNTIF('Game Record'!G:G, A27))</f>
        <v>31</v>
      </c>
      <c r="H27" s="6">
        <f>IF(A27 = "", "", COUNTIF('Game Record'!H:H, A27))</f>
        <v>15</v>
      </c>
      <c r="I27" s="2">
        <f>IFERROR(__xludf.DUMMYFUNCTION("SUM(FILTER(TeamARecordSet, INDEX(TeamARecordSet, 0, 1) = A27)) + SUM(FILTER(TeamBRecordSet, INDEX(TeamBRecordSet, 0, 1) = A27))"),5915.15)</f>
        <v>5915.15</v>
      </c>
      <c r="J27" s="2">
        <f t="shared" si="2"/>
        <v>118.784375</v>
      </c>
      <c r="K27" s="2">
        <f t="shared" si="3"/>
        <v>128.5902174</v>
      </c>
    </row>
    <row r="28">
      <c r="A28" s="1" t="s">
        <v>18</v>
      </c>
      <c r="B28" s="3">
        <v>2.0</v>
      </c>
      <c r="C28" s="1">
        <v>2021.0</v>
      </c>
      <c r="D28" s="5">
        <f>IF(A28 = "", "", COUNTIFS('Game Record'!G:G, A28, 'Game Record'!E:E, C28))</f>
        <v>10</v>
      </c>
      <c r="E28" s="6">
        <f>IF(A28 = "", "", COUNTIFS('Game Record'!H:H, A28, 'Game Record'!E:E, C28))</f>
        <v>6</v>
      </c>
      <c r="F28" s="2">
        <f t="shared" si="1"/>
        <v>1972.75</v>
      </c>
      <c r="G28" s="1">
        <f>IF(A28 = "", "", COUNTIF('Game Record'!G:G, A28))</f>
        <v>15</v>
      </c>
      <c r="H28" s="6">
        <f>IF(A28 = "", "", COUNTIF('Game Record'!H:H, A28))</f>
        <v>16</v>
      </c>
      <c r="I28" s="2">
        <f>IFERROR(__xludf.DUMMYFUNCTION("SUM(FILTER(TeamARecordSet, INDEX(TeamARecordSet, 0, 1) = A28)) + SUM(FILTER(TeamBRecordSet, INDEX(TeamBRecordSet, 0, 1) = A28))"),3779.55)</f>
        <v>3779.55</v>
      </c>
      <c r="J28" s="2">
        <f t="shared" si="2"/>
        <v>123.296875</v>
      </c>
      <c r="K28" s="2">
        <f t="shared" si="3"/>
        <v>121.9209677</v>
      </c>
    </row>
    <row r="29">
      <c r="A29" s="1" t="s">
        <v>15</v>
      </c>
      <c r="B29" s="3">
        <v>9.0</v>
      </c>
      <c r="C29" s="1">
        <v>2021.0</v>
      </c>
      <c r="D29" s="5">
        <f>IF(A29 = "", "", COUNTIFS('Game Record'!G:G, A29, 'Game Record'!E:E, C29))</f>
        <v>4</v>
      </c>
      <c r="E29" s="6">
        <f>IF(A29 = "", "", COUNTIFS('Game Record'!H:H, A29, 'Game Record'!E:E, C29))</f>
        <v>12</v>
      </c>
      <c r="F29" s="2">
        <f t="shared" si="1"/>
        <v>1847.05</v>
      </c>
      <c r="G29" s="1">
        <f>IF(A29 = "", "", COUNTIF('Game Record'!G:G, A29))</f>
        <v>22</v>
      </c>
      <c r="H29" s="6">
        <f>IF(A29 = "", "", COUNTIF('Game Record'!H:H, A29))</f>
        <v>25</v>
      </c>
      <c r="I29" s="2">
        <f>IFERROR(__xludf.DUMMYFUNCTION("SUM(FILTER(TeamARecordSet, INDEX(TeamARecordSet, 0, 1) = A29)) + SUM(FILTER(TeamBRecordSet, INDEX(TeamBRecordSet, 0, 1) = A29))"),5792.75)</f>
        <v>5792.75</v>
      </c>
      <c r="J29" s="2">
        <f t="shared" si="2"/>
        <v>115.440625</v>
      </c>
      <c r="K29" s="2">
        <f t="shared" si="3"/>
        <v>123.25</v>
      </c>
    </row>
    <row r="30">
      <c r="A30" s="1" t="s">
        <v>16</v>
      </c>
      <c r="B30" s="3">
        <v>3.0</v>
      </c>
      <c r="C30" s="1">
        <v>2021.0</v>
      </c>
      <c r="D30" s="5">
        <f>IF(A30 = "", "", COUNTIFS('Game Record'!G:G, A30, 'Game Record'!E:E, C30))</f>
        <v>10</v>
      </c>
      <c r="E30" s="6">
        <f>IF(A30 = "", "", COUNTIFS('Game Record'!H:H, A30, 'Game Record'!E:E, C30))</f>
        <v>7</v>
      </c>
      <c r="F30" s="2">
        <f t="shared" si="1"/>
        <v>2231.55</v>
      </c>
      <c r="G30" s="1">
        <f>IF(A30 = "", "", COUNTIF('Game Record'!G:G, A30))</f>
        <v>24</v>
      </c>
      <c r="H30" s="6">
        <f>IF(A30 = "", "", COUNTIF('Game Record'!H:H, A30))</f>
        <v>23</v>
      </c>
      <c r="I30" s="2">
        <f>IFERROR(__xludf.DUMMYFUNCTION("SUM(FILTER(TeamARecordSet, INDEX(TeamARecordSet, 0, 1) = A30)) + SUM(FILTER(TeamBRecordSet, INDEX(TeamBRecordSet, 0, 1) = A30))"),5701.35)</f>
        <v>5701.35</v>
      </c>
      <c r="J30" s="2">
        <f t="shared" si="2"/>
        <v>131.2676471</v>
      </c>
      <c r="K30" s="2">
        <f t="shared" si="3"/>
        <v>121.3053191</v>
      </c>
    </row>
    <row r="31">
      <c r="A31" s="1" t="s">
        <v>19</v>
      </c>
      <c r="B31" s="3">
        <v>7.0</v>
      </c>
      <c r="C31" s="1">
        <v>2021.0</v>
      </c>
      <c r="D31" s="5">
        <f>IF(A31 = "", "", COUNTIFS('Game Record'!G:G, A31, 'Game Record'!E:E, C31))</f>
        <v>8</v>
      </c>
      <c r="E31" s="6">
        <f>IF(A31 = "", "", COUNTIFS('Game Record'!H:H, A31, 'Game Record'!E:E, C31))</f>
        <v>8</v>
      </c>
      <c r="F31" s="2">
        <f t="shared" si="1"/>
        <v>1922.75</v>
      </c>
      <c r="G31" s="1">
        <f>IF(A31 = "", "", COUNTIF('Game Record'!G:G, A31))</f>
        <v>15</v>
      </c>
      <c r="H31" s="6">
        <f>IF(A31 = "", "", COUNTIF('Game Record'!H:H, A31))</f>
        <v>16</v>
      </c>
      <c r="I31" s="2">
        <f>IFERROR(__xludf.DUMMYFUNCTION("SUM(FILTER(TeamARecordSet, INDEX(TeamARecordSet, 0, 1) = A31)) + SUM(FILTER(TeamBRecordSet, INDEX(TeamBRecordSet, 0, 1) = A31))"),3759.1000000000004)</f>
        <v>3759.1</v>
      </c>
      <c r="J31" s="2">
        <f t="shared" si="2"/>
        <v>120.171875</v>
      </c>
      <c r="K31" s="2">
        <f t="shared" si="3"/>
        <v>121.2612903</v>
      </c>
    </row>
    <row r="32">
      <c r="A32" s="2"/>
      <c r="B32" s="7"/>
      <c r="D32" s="5" t="str">
        <f>IF(A32 = "", "", COUNTIFS('Game Record'!G:G, A32, 'Game Record'!E:E, C32))</f>
        <v/>
      </c>
      <c r="E32" s="6" t="str">
        <f>IF(A32 = "", "", COUNTIFS('Game Record'!H:H, A32, 'Game Record'!E:E, C32))</f>
        <v/>
      </c>
      <c r="F32" s="2">
        <f t="shared" si="1"/>
        <v>0</v>
      </c>
      <c r="G32" s="1" t="str">
        <f>IF(A32 = "", "", COUNTIF('Game Record'!G:G, A32))</f>
        <v/>
      </c>
      <c r="H32" s="6" t="str">
        <f>IF(A32 = "", "", COUNTIF('Game Record'!H:H, A32))</f>
        <v/>
      </c>
      <c r="I32" s="2">
        <f>IFERROR(__xludf.DUMMYFUNCTION("SUM(FILTER(TeamARecordSet, INDEX(TeamARecordSet, 0, 1) = A32)) + SUM(FILTER(TeamBRecordSet, INDEX(TeamBRecordSet, 0, 1) = A32))"),0.0)</f>
        <v>0</v>
      </c>
      <c r="J32" s="2">
        <f t="shared" si="2"/>
        <v>0</v>
      </c>
      <c r="K32" s="2" t="str">
        <f t="shared" si="3"/>
        <v/>
      </c>
    </row>
    <row r="33">
      <c r="A33" s="2"/>
      <c r="B33" s="7"/>
      <c r="D33" s="5" t="str">
        <f>IF(A33 = "", "", COUNTIFS('Game Record'!G:G, A33, 'Game Record'!E:E, C33))</f>
        <v/>
      </c>
      <c r="E33" s="6" t="str">
        <f>IF(A33 = "", "", COUNTIFS('Game Record'!H:H, A33, 'Game Record'!E:E, C33))</f>
        <v/>
      </c>
      <c r="F33" s="2">
        <f t="shared" si="1"/>
        <v>0</v>
      </c>
      <c r="G33" s="1" t="str">
        <f>IF(A33 = "", "", COUNTIF('Game Record'!G:G, A33))</f>
        <v/>
      </c>
      <c r="H33" s="6" t="str">
        <f>IF(A33 = "", "", COUNTIF('Game Record'!H:H, A33))</f>
        <v/>
      </c>
      <c r="I33" s="2">
        <f>IFERROR(__xludf.DUMMYFUNCTION("SUM(FILTER(TeamARecordSet, INDEX(TeamARecordSet, 0, 1) = A33)) + SUM(FILTER(TeamBRecordSet, INDEX(TeamBRecordSet, 0, 1) = A33))"),0.0)</f>
        <v>0</v>
      </c>
      <c r="J33" s="2">
        <f t="shared" si="2"/>
        <v>0</v>
      </c>
      <c r="K33" s="2" t="str">
        <f t="shared" si="3"/>
        <v/>
      </c>
    </row>
    <row r="34">
      <c r="A34" s="2"/>
      <c r="B34" s="7"/>
      <c r="D34" s="5" t="str">
        <f>IF(A34 = "", "", COUNTIFS('Game Record'!G:G, A34, 'Game Record'!E:E, C34))</f>
        <v/>
      </c>
      <c r="E34" s="6" t="str">
        <f>IF(A34 = "", "", COUNTIFS('Game Record'!H:H, A34, 'Game Record'!E:E, C34))</f>
        <v/>
      </c>
      <c r="F34" s="2">
        <f t="shared" si="1"/>
        <v>0</v>
      </c>
      <c r="G34" s="1" t="str">
        <f>IF(A34 = "", "", COUNTIF('Game Record'!G:G, A34))</f>
        <v/>
      </c>
      <c r="H34" s="6" t="str">
        <f>IF(A34 = "", "", COUNTIF('Game Record'!H:H, A34))</f>
        <v/>
      </c>
      <c r="I34" s="2">
        <f>IFERROR(__xludf.DUMMYFUNCTION("SUM(FILTER(TeamARecordSet, INDEX(TeamARecordSet, 0, 1) = A34)) + SUM(FILTER(TeamBRecordSet, INDEX(TeamBRecordSet, 0, 1) = A34))"),0.0)</f>
        <v>0</v>
      </c>
      <c r="J34" s="2">
        <f t="shared" si="2"/>
        <v>0</v>
      </c>
      <c r="K34" s="2" t="str">
        <f t="shared" si="3"/>
        <v/>
      </c>
    </row>
    <row r="35">
      <c r="A35" s="2"/>
      <c r="B35" s="7"/>
      <c r="D35" s="5" t="str">
        <f>IF(A35 = "", "", COUNTIFS('Game Record'!G:G, A35, 'Game Record'!E:E, C35))</f>
        <v/>
      </c>
      <c r="E35" s="6" t="str">
        <f>IF(A35 = "", "", COUNTIFS('Game Record'!H:H, A35, 'Game Record'!E:E, C35))</f>
        <v/>
      </c>
      <c r="F35" s="2">
        <f t="shared" si="1"/>
        <v>0</v>
      </c>
      <c r="G35" s="1" t="str">
        <f>IF(A35 = "", "", COUNTIF('Game Record'!G:G, A35))</f>
        <v/>
      </c>
      <c r="H35" s="6" t="str">
        <f>IF(A35 = "", "", COUNTIF('Game Record'!H:H, A35))</f>
        <v/>
      </c>
      <c r="I35" s="2">
        <f>IFERROR(__xludf.DUMMYFUNCTION("SUM(FILTER(TeamARecordSet, INDEX(TeamARecordSet, 0, 1) = A35)) + SUM(FILTER(TeamBRecordSet, INDEX(TeamBRecordSet, 0, 1) = A35))"),0.0)</f>
        <v>0</v>
      </c>
      <c r="J35" s="2">
        <f t="shared" si="2"/>
        <v>0</v>
      </c>
      <c r="K35" s="2" t="str">
        <f t="shared" si="3"/>
        <v/>
      </c>
    </row>
    <row r="36">
      <c r="A36" s="2"/>
      <c r="B36" s="7"/>
      <c r="D36" s="5" t="str">
        <f>IF(A36 = "", "", COUNTIFS('Game Record'!G:G, A36, 'Game Record'!E:E, C36))</f>
        <v/>
      </c>
      <c r="E36" s="6" t="str">
        <f>IF(A36 = "", "", COUNTIFS('Game Record'!H:H, A36, 'Game Record'!E:E, C36))</f>
        <v/>
      </c>
      <c r="F36" s="2">
        <f t="shared" si="1"/>
        <v>0</v>
      </c>
      <c r="G36" s="1" t="str">
        <f>IF(A36 = "", "", COUNTIF('Game Record'!G:G, A36))</f>
        <v/>
      </c>
      <c r="H36" s="6" t="str">
        <f>IF(A36 = "", "", COUNTIF('Game Record'!H:H, A36))</f>
        <v/>
      </c>
      <c r="I36" s="2">
        <f>IFERROR(__xludf.DUMMYFUNCTION("SUM(FILTER(TeamARecordSet, INDEX(TeamARecordSet, 0, 1) = A36)) + SUM(FILTER(TeamBRecordSet, INDEX(TeamBRecordSet, 0, 1) = A36))"),0.0)</f>
        <v>0</v>
      </c>
      <c r="J36" s="2">
        <f t="shared" si="2"/>
        <v>0</v>
      </c>
      <c r="K36" s="2" t="str">
        <f t="shared" si="3"/>
        <v/>
      </c>
    </row>
    <row r="37">
      <c r="A37" s="2"/>
      <c r="B37" s="7"/>
      <c r="D37" s="5" t="str">
        <f>IF(A37 = "", "", COUNTIFS('Game Record'!G:G, A37, 'Game Record'!E:E, C37))</f>
        <v/>
      </c>
      <c r="E37" s="6" t="str">
        <f>IF(A37 = "", "", COUNTIFS('Game Record'!H:H, A37, 'Game Record'!E:E, C37))</f>
        <v/>
      </c>
      <c r="F37" s="2">
        <f t="shared" si="1"/>
        <v>0</v>
      </c>
      <c r="G37" s="1" t="str">
        <f>IF(A37 = "", "", COUNTIF('Game Record'!G:G, A37))</f>
        <v/>
      </c>
      <c r="H37" s="6" t="str">
        <f>IF(A37 = "", "", COUNTIF('Game Record'!H:H, A37))</f>
        <v/>
      </c>
      <c r="I37" s="2">
        <f>IFERROR(__xludf.DUMMYFUNCTION("SUM(FILTER(TeamARecordSet, INDEX(TeamARecordSet, 0, 1) = A37)) + SUM(FILTER(TeamBRecordSet, INDEX(TeamBRecordSet, 0, 1) = A37))"),0.0)</f>
        <v>0</v>
      </c>
      <c r="J37" s="2">
        <f t="shared" si="2"/>
        <v>0</v>
      </c>
      <c r="K37" s="2" t="str">
        <f t="shared" si="3"/>
        <v/>
      </c>
    </row>
    <row r="38">
      <c r="A38" s="2"/>
      <c r="B38" s="7"/>
      <c r="D38" s="5" t="str">
        <f>IF(A38 = "", "", COUNTIFS('Game Record'!G:G, A38, 'Game Record'!E:E, C38))</f>
        <v/>
      </c>
      <c r="E38" s="6" t="str">
        <f>IF(A38 = "", "", COUNTIFS('Game Record'!H:H, A38, 'Game Record'!E:E, C38))</f>
        <v/>
      </c>
      <c r="F38" s="2">
        <f t="shared" si="1"/>
        <v>0</v>
      </c>
      <c r="G38" s="1" t="str">
        <f>IF(A38 = "", "", COUNTIF('Game Record'!G:G, A38))</f>
        <v/>
      </c>
      <c r="H38" s="6" t="str">
        <f>IF(A38 = "", "", COUNTIF('Game Record'!H:H, A38))</f>
        <v/>
      </c>
      <c r="I38" s="2">
        <f>IFERROR(__xludf.DUMMYFUNCTION("SUM(FILTER(TeamARecordSet, INDEX(TeamARecordSet, 0, 1) = A38)) + SUM(FILTER(TeamBRecordSet, INDEX(TeamBRecordSet, 0, 1) = A38))"),0.0)</f>
        <v>0</v>
      </c>
      <c r="J38" s="2">
        <f t="shared" si="2"/>
        <v>0</v>
      </c>
      <c r="K38" s="2" t="str">
        <f t="shared" si="3"/>
        <v/>
      </c>
    </row>
    <row r="39">
      <c r="A39" s="2"/>
      <c r="B39" s="7"/>
      <c r="D39" s="5" t="str">
        <f>IF(A39 = "", "", COUNTIFS('Game Record'!G:G, A39, 'Game Record'!E:E, C39))</f>
        <v/>
      </c>
      <c r="E39" s="6" t="str">
        <f>IF(A39 = "", "", COUNTIFS('Game Record'!H:H, A39, 'Game Record'!E:E, C39))</f>
        <v/>
      </c>
      <c r="F39" s="2">
        <f t="shared" si="1"/>
        <v>0</v>
      </c>
      <c r="G39" s="1" t="str">
        <f>IF(A39 = "", "", COUNTIF('Game Record'!G:G, A39))</f>
        <v/>
      </c>
      <c r="H39" s="6" t="str">
        <f>IF(A39 = "", "", COUNTIF('Game Record'!H:H, A39))</f>
        <v/>
      </c>
      <c r="I39" s="2">
        <f>IFERROR(__xludf.DUMMYFUNCTION("SUM(FILTER(TeamARecordSet, INDEX(TeamARecordSet, 0, 1) = A39)) + SUM(FILTER(TeamBRecordSet, INDEX(TeamBRecordSet, 0, 1) = A39))"),0.0)</f>
        <v>0</v>
      </c>
      <c r="J39" s="2">
        <f t="shared" si="2"/>
        <v>0</v>
      </c>
      <c r="K39" s="2" t="str">
        <f t="shared" si="3"/>
        <v/>
      </c>
    </row>
    <row r="40">
      <c r="A40" s="2"/>
      <c r="B40" s="7"/>
      <c r="D40" s="5" t="str">
        <f>IF(A40 = "", "", COUNTIFS('Game Record'!G:G, A40, 'Game Record'!E:E, C40))</f>
        <v/>
      </c>
      <c r="E40" s="6" t="str">
        <f>IF(A40 = "", "", COUNTIFS('Game Record'!H:H, A40, 'Game Record'!E:E, C40))</f>
        <v/>
      </c>
      <c r="F40" s="2">
        <f t="shared" si="1"/>
        <v>0</v>
      </c>
      <c r="G40" s="1" t="str">
        <f>IF(A40 = "", "", COUNTIF('Game Record'!G:G, A40))</f>
        <v/>
      </c>
      <c r="H40" s="6" t="str">
        <f>IF(A40 = "", "", COUNTIF('Game Record'!H:H, A40))</f>
        <v/>
      </c>
      <c r="I40" s="2">
        <f>IFERROR(__xludf.DUMMYFUNCTION("SUM(FILTER(TeamARecordSet, INDEX(TeamARecordSet, 0, 1) = A40)) + SUM(FILTER(TeamBRecordSet, INDEX(TeamBRecordSet, 0, 1) = A40))"),0.0)</f>
        <v>0</v>
      </c>
      <c r="J40" s="2">
        <f t="shared" si="2"/>
        <v>0</v>
      </c>
      <c r="K40" s="2" t="str">
        <f t="shared" si="3"/>
        <v/>
      </c>
    </row>
    <row r="41">
      <c r="A41" s="2"/>
      <c r="B41" s="7"/>
      <c r="D41" s="5" t="str">
        <f>IF(A41 = "", "", COUNTIFS('Game Record'!G:G, A41, 'Game Record'!E:E, C41))</f>
        <v/>
      </c>
      <c r="E41" s="6" t="str">
        <f>IF(A41 = "", "", COUNTIFS('Game Record'!H:H, A41, 'Game Record'!E:E, C41))</f>
        <v/>
      </c>
      <c r="F41" s="2">
        <f t="shared" si="1"/>
        <v>0</v>
      </c>
      <c r="G41" s="1" t="str">
        <f>IF(A41 = "", "", COUNTIF('Game Record'!G:G, A41))</f>
        <v/>
      </c>
      <c r="H41" s="6" t="str">
        <f>IF(A41 = "", "", COUNTIF('Game Record'!H:H, A41))</f>
        <v/>
      </c>
      <c r="I41" s="2">
        <f>IFERROR(__xludf.DUMMYFUNCTION("SUM(FILTER(TeamARecordSet, INDEX(TeamARecordSet, 0, 1) = A41)) + SUM(FILTER(TeamBRecordSet, INDEX(TeamBRecordSet, 0, 1) = A41))"),0.0)</f>
        <v>0</v>
      </c>
      <c r="J41" s="2">
        <f t="shared" si="2"/>
        <v>0</v>
      </c>
      <c r="K41" s="2" t="str">
        <f t="shared" si="3"/>
        <v/>
      </c>
    </row>
    <row r="42">
      <c r="A42" s="2"/>
      <c r="B42" s="7"/>
      <c r="D42" s="5" t="str">
        <f>IF(A42 = "", "", COUNTIFS('Game Record'!G:G, A42, 'Game Record'!E:E, C42))</f>
        <v/>
      </c>
      <c r="E42" s="6" t="str">
        <f>IF(A42 = "", "", COUNTIFS('Game Record'!H:H, A42, 'Game Record'!E:E, C42))</f>
        <v/>
      </c>
      <c r="F42" s="2">
        <f t="shared" si="1"/>
        <v>0</v>
      </c>
      <c r="G42" s="1" t="str">
        <f>IF(A42 = "", "", COUNTIF('Game Record'!G:G, A42))</f>
        <v/>
      </c>
      <c r="H42" s="6" t="str">
        <f>IF(A42 = "", "", COUNTIF('Game Record'!H:H, A42))</f>
        <v/>
      </c>
      <c r="I42" s="2">
        <f>IFERROR(__xludf.DUMMYFUNCTION("SUM(FILTER(TeamARecordSet, INDEX(TeamARecordSet, 0, 1) = A42)) + SUM(FILTER(TeamBRecordSet, INDEX(TeamBRecordSet, 0, 1) = A42))"),0.0)</f>
        <v>0</v>
      </c>
      <c r="J42" s="2">
        <f t="shared" si="2"/>
        <v>0</v>
      </c>
      <c r="K42" s="2" t="str">
        <f t="shared" si="3"/>
        <v/>
      </c>
    </row>
    <row r="43">
      <c r="A43" s="2"/>
      <c r="B43" s="7"/>
      <c r="D43" s="5" t="str">
        <f>IF(A43 = "", "", COUNTIFS('Game Record'!G:G, A43, 'Game Record'!E:E, C43))</f>
        <v/>
      </c>
      <c r="E43" s="6" t="str">
        <f>IF(A43 = "", "", COUNTIFS('Game Record'!H:H, A43, 'Game Record'!E:E, C43))</f>
        <v/>
      </c>
      <c r="F43" s="2">
        <f t="shared" si="1"/>
        <v>0</v>
      </c>
      <c r="G43" s="1" t="str">
        <f>IF(A43 = "", "", COUNTIF('Game Record'!G:G, A43))</f>
        <v/>
      </c>
      <c r="H43" s="6" t="str">
        <f>IF(A43 = "", "", COUNTIF('Game Record'!H:H, A43))</f>
        <v/>
      </c>
      <c r="I43" s="2">
        <f>IFERROR(__xludf.DUMMYFUNCTION("SUM(FILTER(TeamARecordSet, INDEX(TeamARecordSet, 0, 1) = A43)) + SUM(FILTER(TeamBRecordSet, INDEX(TeamBRecordSet, 0, 1) = A43))"),0.0)</f>
        <v>0</v>
      </c>
      <c r="J43" s="2">
        <f t="shared" si="2"/>
        <v>0</v>
      </c>
      <c r="K43" s="2" t="str">
        <f t="shared" si="3"/>
        <v/>
      </c>
    </row>
    <row r="44">
      <c r="A44" s="2"/>
      <c r="B44" s="7"/>
      <c r="D44" s="5" t="str">
        <f>IF(A44 = "", "", COUNTIFS('Game Record'!G:G, A44, 'Game Record'!E:E, C44))</f>
        <v/>
      </c>
      <c r="E44" s="6" t="str">
        <f>IF(A44 = "", "", COUNTIFS('Game Record'!H:H, A44, 'Game Record'!E:E, C44))</f>
        <v/>
      </c>
      <c r="F44" s="2">
        <f t="shared" si="1"/>
        <v>0</v>
      </c>
      <c r="G44" s="1" t="str">
        <f>IF(A44 = "", "", COUNTIF('Game Record'!G:G, A44))</f>
        <v/>
      </c>
      <c r="H44" s="6" t="str">
        <f>IF(A44 = "", "", COUNTIF('Game Record'!H:H, A44))</f>
        <v/>
      </c>
      <c r="I44" s="2">
        <f>IFERROR(__xludf.DUMMYFUNCTION("SUM(FILTER(TeamARecordSet, INDEX(TeamARecordSet, 0, 1) = A44)) + SUM(FILTER(TeamBRecordSet, INDEX(TeamBRecordSet, 0, 1) = A44))"),0.0)</f>
        <v>0</v>
      </c>
      <c r="J44" s="2">
        <f t="shared" si="2"/>
        <v>0</v>
      </c>
      <c r="K44" s="2" t="str">
        <f t="shared" si="3"/>
        <v/>
      </c>
    </row>
    <row r="45">
      <c r="A45" s="2"/>
      <c r="B45" s="7"/>
      <c r="D45" s="5" t="str">
        <f>IF(A45 = "", "", COUNTIFS('Game Record'!G:G, A45, 'Game Record'!E:E, C45))</f>
        <v/>
      </c>
      <c r="E45" s="6" t="str">
        <f>IF(A45 = "", "", COUNTIFS('Game Record'!H:H, A45, 'Game Record'!E:E, C45))</f>
        <v/>
      </c>
      <c r="F45" s="2">
        <f t="shared" si="1"/>
        <v>0</v>
      </c>
      <c r="G45" s="1" t="str">
        <f>IF(A45 = "", "", COUNTIF('Game Record'!G:G, A45))</f>
        <v/>
      </c>
      <c r="H45" s="6" t="str">
        <f>IF(A45 = "", "", COUNTIF('Game Record'!H:H, A45))</f>
        <v/>
      </c>
      <c r="I45" s="2">
        <f>IFERROR(__xludf.DUMMYFUNCTION("SUM(FILTER(TeamARecordSet, INDEX(TeamARecordSet, 0, 1) = A45)) + SUM(FILTER(TeamBRecordSet, INDEX(TeamBRecordSet, 0, 1) = A45))"),0.0)</f>
        <v>0</v>
      </c>
      <c r="J45" s="2">
        <f t="shared" si="2"/>
        <v>0</v>
      </c>
      <c r="K45" s="2" t="str">
        <f t="shared" si="3"/>
        <v/>
      </c>
    </row>
    <row r="46">
      <c r="A46" s="2"/>
      <c r="B46" s="7"/>
      <c r="D46" s="5" t="str">
        <f>IF(A46 = "", "", COUNTIFS('Game Record'!G:G, A46, 'Game Record'!E:E, C46))</f>
        <v/>
      </c>
      <c r="E46" s="6" t="str">
        <f>IF(A46 = "", "", COUNTIFS('Game Record'!H:H, A46, 'Game Record'!E:E, C46))</f>
        <v/>
      </c>
      <c r="F46" s="2">
        <f t="shared" si="1"/>
        <v>0</v>
      </c>
      <c r="G46" s="1" t="str">
        <f>IF(A46 = "", "", COUNTIF('Game Record'!G:G, A46))</f>
        <v/>
      </c>
      <c r="H46" s="6" t="str">
        <f>IF(A46 = "", "", COUNTIF('Game Record'!H:H, A46))</f>
        <v/>
      </c>
      <c r="I46" s="2">
        <f>IFERROR(__xludf.DUMMYFUNCTION("SUM(FILTER(TeamARecordSet, INDEX(TeamARecordSet, 0, 1) = A46)) + SUM(FILTER(TeamBRecordSet, INDEX(TeamBRecordSet, 0, 1) = A46))"),0.0)</f>
        <v>0</v>
      </c>
      <c r="J46" s="2">
        <f t="shared" si="2"/>
        <v>0</v>
      </c>
      <c r="K46" s="2" t="str">
        <f t="shared" si="3"/>
        <v/>
      </c>
    </row>
    <row r="47">
      <c r="A47" s="2"/>
      <c r="B47" s="7"/>
      <c r="D47" s="5" t="str">
        <f>IF(A47 = "", "", COUNTIFS('Game Record'!G:G, A47, 'Game Record'!E:E, C47))</f>
        <v/>
      </c>
      <c r="E47" s="6" t="str">
        <f>IF(A47 = "", "", COUNTIFS('Game Record'!H:H, A47, 'Game Record'!E:E, C47))</f>
        <v/>
      </c>
      <c r="F47" s="2">
        <f t="shared" si="1"/>
        <v>0</v>
      </c>
      <c r="G47" s="1" t="str">
        <f>IF(A47 = "", "", COUNTIF('Game Record'!G:G, A47))</f>
        <v/>
      </c>
      <c r="H47" s="6" t="str">
        <f>IF(A47 = "", "", COUNTIF('Game Record'!H:H, A47))</f>
        <v/>
      </c>
      <c r="I47" s="2">
        <f>IFERROR(__xludf.DUMMYFUNCTION("SUM(FILTER(TeamARecordSet, INDEX(TeamARecordSet, 0, 1) = A47)) + SUM(FILTER(TeamBRecordSet, INDEX(TeamBRecordSet, 0, 1) = A47))"),0.0)</f>
        <v>0</v>
      </c>
      <c r="J47" s="2">
        <f t="shared" si="2"/>
        <v>0</v>
      </c>
      <c r="K47" s="2" t="str">
        <f t="shared" si="3"/>
        <v/>
      </c>
    </row>
    <row r="48">
      <c r="A48" s="2"/>
      <c r="B48" s="7"/>
      <c r="D48" s="5" t="str">
        <f>IF(A48 = "", "", COUNTIFS('Game Record'!G:G, A48, 'Game Record'!E:E, C48))</f>
        <v/>
      </c>
      <c r="E48" s="6" t="str">
        <f>IF(A48 = "", "", COUNTIFS('Game Record'!H:H, A48, 'Game Record'!E:E, C48))</f>
        <v/>
      </c>
      <c r="F48" s="2">
        <f t="shared" si="1"/>
        <v>0</v>
      </c>
      <c r="G48" s="1" t="str">
        <f>IF(A48 = "", "", COUNTIF('Game Record'!G:G, A48))</f>
        <v/>
      </c>
      <c r="H48" s="6" t="str">
        <f>IF(A48 = "", "", COUNTIF('Game Record'!H:H, A48))</f>
        <v/>
      </c>
      <c r="I48" s="2">
        <f>IFERROR(__xludf.DUMMYFUNCTION("SUM(FILTER(TeamARecordSet, INDEX(TeamARecordSet, 0, 1) = A48)) + SUM(FILTER(TeamBRecordSet, INDEX(TeamBRecordSet, 0, 1) = A48))"),0.0)</f>
        <v>0</v>
      </c>
      <c r="J48" s="2">
        <f t="shared" si="2"/>
        <v>0</v>
      </c>
      <c r="K48" s="2" t="str">
        <f t="shared" si="3"/>
        <v/>
      </c>
    </row>
    <row r="49">
      <c r="A49" s="2"/>
      <c r="B49" s="7"/>
      <c r="D49" s="5" t="str">
        <f>IF(A49 = "", "", COUNTIFS('Game Record'!G:G, A49, 'Game Record'!E:E, C49))</f>
        <v/>
      </c>
      <c r="E49" s="6" t="str">
        <f>IF(A49 = "", "", COUNTIFS('Game Record'!H:H, A49, 'Game Record'!E:E, C49))</f>
        <v/>
      </c>
      <c r="F49" s="2">
        <f t="shared" si="1"/>
        <v>0</v>
      </c>
      <c r="G49" s="1" t="str">
        <f>IF(A49 = "", "", COUNTIF('Game Record'!G:G, A49))</f>
        <v/>
      </c>
      <c r="H49" s="6" t="str">
        <f>IF(A49 = "", "", COUNTIF('Game Record'!H:H, A49))</f>
        <v/>
      </c>
      <c r="I49" s="2">
        <f>IFERROR(__xludf.DUMMYFUNCTION("SUM(FILTER(TeamARecordSet, INDEX(TeamARecordSet, 0, 1) = A49)) + SUM(FILTER(TeamBRecordSet, INDEX(TeamBRecordSet, 0, 1) = A49))"),0.0)</f>
        <v>0</v>
      </c>
      <c r="J49" s="2">
        <f t="shared" si="2"/>
        <v>0</v>
      </c>
      <c r="K49" s="2" t="str">
        <f t="shared" si="3"/>
        <v/>
      </c>
    </row>
    <row r="50">
      <c r="A50" s="2"/>
      <c r="B50" s="7"/>
      <c r="D50" s="5" t="str">
        <f>IF(A50 = "", "", COUNTIFS('Game Record'!G:G, A50, 'Game Record'!E:E, C50))</f>
        <v/>
      </c>
      <c r="E50" s="6" t="str">
        <f>IF(A50 = "", "", COUNTIFS('Game Record'!H:H, A50, 'Game Record'!E:E, C50))</f>
        <v/>
      </c>
      <c r="F50" s="2">
        <f t="shared" si="1"/>
        <v>0</v>
      </c>
      <c r="G50" s="1" t="str">
        <f>IF(A50 = "", "", COUNTIF('Game Record'!G:G, A50))</f>
        <v/>
      </c>
      <c r="H50" s="6" t="str">
        <f>IF(A50 = "", "", COUNTIF('Game Record'!H:H, A50))</f>
        <v/>
      </c>
      <c r="I50" s="2">
        <f>IFERROR(__xludf.DUMMYFUNCTION("SUM(FILTER(TeamARecordSet, INDEX(TeamARecordSet, 0, 1) = A50)) + SUM(FILTER(TeamBRecordSet, INDEX(TeamBRecordSet, 0, 1) = A50))"),0.0)</f>
        <v>0</v>
      </c>
      <c r="J50" s="2">
        <f t="shared" si="2"/>
        <v>0</v>
      </c>
      <c r="K50" s="2" t="str">
        <f t="shared" si="3"/>
        <v/>
      </c>
    </row>
    <row r="51">
      <c r="A51" s="2"/>
      <c r="B51" s="7"/>
      <c r="D51" s="5" t="str">
        <f>IF(A51 = "", "", COUNTIFS('Game Record'!G:G, A51, 'Game Record'!E:E, C51))</f>
        <v/>
      </c>
      <c r="E51" s="6" t="str">
        <f>IF(A51 = "", "", COUNTIFS('Game Record'!H:H, A51, 'Game Record'!E:E, C51))</f>
        <v/>
      </c>
      <c r="F51" s="2">
        <f t="shared" si="1"/>
        <v>0</v>
      </c>
      <c r="G51" s="1" t="str">
        <f>IF(A51 = "", "", COUNTIF('Game Record'!G:G, A51))</f>
        <v/>
      </c>
      <c r="H51" s="6" t="str">
        <f>IF(A51 = "", "", COUNTIF('Game Record'!H:H, A51))</f>
        <v/>
      </c>
      <c r="I51" s="2">
        <f>IFERROR(__xludf.DUMMYFUNCTION("SUM(FILTER(TeamARecordSet, INDEX(TeamARecordSet, 0, 1) = A51)) + SUM(FILTER(TeamBRecordSet, INDEX(TeamBRecordSet, 0, 1) = A51))"),0.0)</f>
        <v>0</v>
      </c>
      <c r="J51" s="2">
        <f t="shared" si="2"/>
        <v>0</v>
      </c>
      <c r="K51" s="2" t="str">
        <f t="shared" si="3"/>
        <v/>
      </c>
    </row>
    <row r="52">
      <c r="A52" s="2"/>
      <c r="B52" s="7"/>
      <c r="D52" s="5" t="str">
        <f>IF(A52 = "", "", COUNTIFS('Game Record'!G:G, A52, 'Game Record'!E:E, C52))</f>
        <v/>
      </c>
      <c r="E52" s="6" t="str">
        <f>IF(A52 = "", "", COUNTIFS('Game Record'!H:H, A52, 'Game Record'!E:E, C52))</f>
        <v/>
      </c>
      <c r="F52" s="2">
        <f t="shared" si="1"/>
        <v>0</v>
      </c>
      <c r="G52" s="1" t="str">
        <f>IF(A52 = "", "", COUNTIF('Game Record'!G:G, A52))</f>
        <v/>
      </c>
      <c r="H52" s="6" t="str">
        <f>IF(A52 = "", "", COUNTIF('Game Record'!H:H, A52))</f>
        <v/>
      </c>
      <c r="I52" s="2">
        <f>IFERROR(__xludf.DUMMYFUNCTION("SUM(FILTER(TeamARecordSet, INDEX(TeamARecordSet, 0, 1) = A52)) + SUM(FILTER(TeamBRecordSet, INDEX(TeamBRecordSet, 0, 1) = A52))"),0.0)</f>
        <v>0</v>
      </c>
      <c r="J52" s="2">
        <f t="shared" si="2"/>
        <v>0</v>
      </c>
      <c r="K52" s="2" t="str">
        <f t="shared" si="3"/>
        <v/>
      </c>
    </row>
    <row r="53">
      <c r="A53" s="2"/>
      <c r="B53" s="7"/>
      <c r="D53" s="5" t="str">
        <f>IF(A53 = "", "", COUNTIFS('Game Record'!G:G, A53, 'Game Record'!E:E, C53))</f>
        <v/>
      </c>
      <c r="E53" s="6" t="str">
        <f>IF(A53 = "", "", COUNTIFS('Game Record'!H:H, A53, 'Game Record'!E:E, C53))</f>
        <v/>
      </c>
      <c r="F53" s="2">
        <f t="shared" si="1"/>
        <v>0</v>
      </c>
      <c r="G53" s="1" t="str">
        <f>IF(A53 = "", "", COUNTIF('Game Record'!G:G, A53))</f>
        <v/>
      </c>
      <c r="H53" s="6" t="str">
        <f>IF(A53 = "", "", COUNTIF('Game Record'!H:H, A53))</f>
        <v/>
      </c>
      <c r="I53" s="2">
        <f>IFERROR(__xludf.DUMMYFUNCTION("SUM(FILTER(TeamARecordSet, INDEX(TeamARecordSet, 0, 1) = A53)) + SUM(FILTER(TeamBRecordSet, INDEX(TeamBRecordSet, 0, 1) = A53))"),0.0)</f>
        <v>0</v>
      </c>
      <c r="J53" s="2">
        <f t="shared" si="2"/>
        <v>0</v>
      </c>
      <c r="K53" s="2" t="str">
        <f t="shared" si="3"/>
        <v/>
      </c>
    </row>
    <row r="54">
      <c r="A54" s="2"/>
      <c r="B54" s="7"/>
      <c r="D54" s="5" t="str">
        <f>IF(A54 = "", "", COUNTIFS('Game Record'!G:G, A54, 'Game Record'!E:E, C54))</f>
        <v/>
      </c>
      <c r="E54" s="6" t="str">
        <f>IF(A54 = "", "", COUNTIFS('Game Record'!H:H, A54, 'Game Record'!E:E, C54))</f>
        <v/>
      </c>
      <c r="F54" s="2">
        <f t="shared" si="1"/>
        <v>0</v>
      </c>
      <c r="G54" s="1" t="str">
        <f>IF(A54 = "", "", COUNTIF('Game Record'!G:G, A54))</f>
        <v/>
      </c>
      <c r="H54" s="6" t="str">
        <f>IF(A54 = "", "", COUNTIF('Game Record'!H:H, A54))</f>
        <v/>
      </c>
      <c r="I54" s="2">
        <f>IFERROR(__xludf.DUMMYFUNCTION("SUM(FILTER(TeamARecordSet, INDEX(TeamARecordSet, 0, 1) = A54)) + SUM(FILTER(TeamBRecordSet, INDEX(TeamBRecordSet, 0, 1) = A54))"),0.0)</f>
        <v>0</v>
      </c>
      <c r="J54" s="2">
        <f t="shared" si="2"/>
        <v>0</v>
      </c>
      <c r="K54" s="2" t="str">
        <f t="shared" si="3"/>
        <v/>
      </c>
    </row>
    <row r="55">
      <c r="A55" s="2"/>
      <c r="B55" s="7"/>
      <c r="D55" s="5" t="str">
        <f>IF(A55 = "", "", COUNTIFS('Game Record'!G:G, A55, 'Game Record'!E:E, C55))</f>
        <v/>
      </c>
      <c r="E55" s="6" t="str">
        <f>IF(A55 = "", "", COUNTIFS('Game Record'!H:H, A55, 'Game Record'!E:E, C55))</f>
        <v/>
      </c>
      <c r="F55" s="2">
        <f t="shared" si="1"/>
        <v>0</v>
      </c>
      <c r="G55" s="1" t="str">
        <f>IF(A55 = "", "", COUNTIF('Game Record'!G:G, A55))</f>
        <v/>
      </c>
      <c r="H55" s="6" t="str">
        <f>IF(A55 = "", "", COUNTIF('Game Record'!H:H, A55))</f>
        <v/>
      </c>
      <c r="I55" s="2">
        <f>IFERROR(__xludf.DUMMYFUNCTION("SUM(FILTER(TeamARecordSet, INDEX(TeamARecordSet, 0, 1) = A55)) + SUM(FILTER(TeamBRecordSet, INDEX(TeamBRecordSet, 0, 1) = A55))"),0.0)</f>
        <v>0</v>
      </c>
      <c r="J55" s="2">
        <f t="shared" si="2"/>
        <v>0</v>
      </c>
      <c r="K55" s="2" t="str">
        <f t="shared" si="3"/>
        <v/>
      </c>
    </row>
    <row r="56">
      <c r="A56" s="2"/>
      <c r="B56" s="7"/>
      <c r="D56" s="5" t="str">
        <f>IF(A56 = "", "", COUNTIFS('Game Record'!G:G, A56, 'Game Record'!E:E, C56))</f>
        <v/>
      </c>
      <c r="E56" s="6" t="str">
        <f>IF(A56 = "", "", COUNTIFS('Game Record'!H:H, A56, 'Game Record'!E:E, C56))</f>
        <v/>
      </c>
      <c r="F56" s="2">
        <f t="shared" si="1"/>
        <v>0</v>
      </c>
      <c r="G56" s="1" t="str">
        <f>IF(A56 = "", "", COUNTIF('Game Record'!G:G, A56))</f>
        <v/>
      </c>
      <c r="H56" s="6" t="str">
        <f>IF(A56 = "", "", COUNTIF('Game Record'!H:H, A56))</f>
        <v/>
      </c>
      <c r="I56" s="2">
        <f>IFERROR(__xludf.DUMMYFUNCTION("SUM(FILTER(TeamARecordSet, INDEX(TeamARecordSet, 0, 1) = A56)) + SUM(FILTER(TeamBRecordSet, INDEX(TeamBRecordSet, 0, 1) = A56))"),0.0)</f>
        <v>0</v>
      </c>
      <c r="J56" s="2">
        <f t="shared" si="2"/>
        <v>0</v>
      </c>
      <c r="K56" s="2" t="str">
        <f t="shared" si="3"/>
        <v/>
      </c>
    </row>
    <row r="57">
      <c r="A57" s="2"/>
      <c r="B57" s="7"/>
      <c r="D57" s="5" t="str">
        <f>IF(A57 = "", "", COUNTIFS('Game Record'!G:G, A57, 'Game Record'!E:E, C57))</f>
        <v/>
      </c>
      <c r="E57" s="6" t="str">
        <f>IF(A57 = "", "", COUNTIFS('Game Record'!H:H, A57, 'Game Record'!E:E, C57))</f>
        <v/>
      </c>
      <c r="F57" s="2">
        <f t="shared" si="1"/>
        <v>0</v>
      </c>
      <c r="G57" s="1" t="str">
        <f>IF(A57 = "", "", COUNTIF('Game Record'!G:G, A57))</f>
        <v/>
      </c>
      <c r="H57" s="6" t="str">
        <f>IF(A57 = "", "", COUNTIF('Game Record'!H:H, A57))</f>
        <v/>
      </c>
      <c r="I57" s="2">
        <f>IFERROR(__xludf.DUMMYFUNCTION("SUM(FILTER(TeamARecordSet, INDEX(TeamARecordSet, 0, 1) = A57)) + SUM(FILTER(TeamBRecordSet, INDEX(TeamBRecordSet, 0, 1) = A57))"),0.0)</f>
        <v>0</v>
      </c>
      <c r="J57" s="2">
        <f t="shared" si="2"/>
        <v>0</v>
      </c>
      <c r="K57" s="2" t="str">
        <f t="shared" si="3"/>
        <v/>
      </c>
    </row>
    <row r="58">
      <c r="A58" s="2"/>
      <c r="B58" s="7"/>
      <c r="D58" s="5" t="str">
        <f>IF(A58 = "", "", COUNTIFS('Game Record'!G:G, A58, 'Game Record'!E:E, C58))</f>
        <v/>
      </c>
      <c r="E58" s="6" t="str">
        <f>IF(A58 = "", "", COUNTIFS('Game Record'!H:H, A58, 'Game Record'!E:E, C58))</f>
        <v/>
      </c>
      <c r="F58" s="2">
        <f t="shared" si="1"/>
        <v>0</v>
      </c>
      <c r="G58" s="1" t="str">
        <f>IF(A58 = "", "", COUNTIF('Game Record'!G:G, A58))</f>
        <v/>
      </c>
      <c r="H58" s="6" t="str">
        <f>IF(A58 = "", "", COUNTIF('Game Record'!H:H, A58))</f>
        <v/>
      </c>
      <c r="I58" s="2">
        <f>IFERROR(__xludf.DUMMYFUNCTION("SUM(FILTER(TeamARecordSet, INDEX(TeamARecordSet, 0, 1) = A58)) + SUM(FILTER(TeamBRecordSet, INDEX(TeamBRecordSet, 0, 1) = A58))"),0.0)</f>
        <v>0</v>
      </c>
      <c r="J58" s="2">
        <f t="shared" si="2"/>
        <v>0</v>
      </c>
      <c r="K58" s="2" t="str">
        <f t="shared" si="3"/>
        <v/>
      </c>
    </row>
    <row r="59">
      <c r="A59" s="2"/>
      <c r="B59" s="7"/>
      <c r="D59" s="5" t="str">
        <f>IF(A59 = "", "", COUNTIFS('Game Record'!G:G, A59, 'Game Record'!E:E, C59))</f>
        <v/>
      </c>
      <c r="E59" s="6" t="str">
        <f>IF(A59 = "", "", COUNTIFS('Game Record'!H:H, A59, 'Game Record'!E:E, C59))</f>
        <v/>
      </c>
      <c r="F59" s="2">
        <f t="shared" si="1"/>
        <v>0</v>
      </c>
      <c r="G59" s="1" t="str">
        <f>IF(A59 = "", "", COUNTIF('Game Record'!G:G, A59))</f>
        <v/>
      </c>
      <c r="H59" s="6" t="str">
        <f>IF(A59 = "", "", COUNTIF('Game Record'!H:H, A59))</f>
        <v/>
      </c>
      <c r="I59" s="2">
        <f>IFERROR(__xludf.DUMMYFUNCTION("SUM(FILTER(TeamARecordSet, INDEX(TeamARecordSet, 0, 1) = A59)) + SUM(FILTER(TeamBRecordSet, INDEX(TeamBRecordSet, 0, 1) = A59))"),0.0)</f>
        <v>0</v>
      </c>
      <c r="J59" s="2">
        <f t="shared" si="2"/>
        <v>0</v>
      </c>
      <c r="K59" s="2" t="str">
        <f t="shared" si="3"/>
        <v/>
      </c>
    </row>
    <row r="60">
      <c r="A60" s="2"/>
      <c r="B60" s="7"/>
      <c r="D60" s="5" t="str">
        <f>IF(A60 = "", "", COUNTIFS('Game Record'!G:G, A60, 'Game Record'!E:E, C60))</f>
        <v/>
      </c>
      <c r="E60" s="6" t="str">
        <f>IF(A60 = "", "", COUNTIFS('Game Record'!H:H, A60, 'Game Record'!E:E, C60))</f>
        <v/>
      </c>
      <c r="F60" s="2">
        <f t="shared" si="1"/>
        <v>0</v>
      </c>
      <c r="G60" s="1" t="str">
        <f>IF(A60 = "", "", COUNTIF('Game Record'!G:G, A60))</f>
        <v/>
      </c>
      <c r="H60" s="6" t="str">
        <f>IF(A60 = "", "", COUNTIF('Game Record'!H:H, A60))</f>
        <v/>
      </c>
      <c r="I60" s="2">
        <f>IFERROR(__xludf.DUMMYFUNCTION("SUM(FILTER(TeamARecordSet, INDEX(TeamARecordSet, 0, 1) = A60)) + SUM(FILTER(TeamBRecordSet, INDEX(TeamBRecordSet, 0, 1) = A60))"),0.0)</f>
        <v>0</v>
      </c>
      <c r="J60" s="2">
        <f t="shared" si="2"/>
        <v>0</v>
      </c>
      <c r="K60" s="2" t="str">
        <f t="shared" si="3"/>
        <v/>
      </c>
    </row>
    <row r="61">
      <c r="A61" s="2"/>
      <c r="B61" s="7"/>
      <c r="D61" s="5" t="str">
        <f>IF(A61 = "", "", COUNTIFS('Game Record'!G:G, A61, 'Game Record'!E:E, C61))</f>
        <v/>
      </c>
      <c r="E61" s="6" t="str">
        <f>IF(A61 = "", "", COUNTIFS('Game Record'!H:H, A61, 'Game Record'!E:E, C61))</f>
        <v/>
      </c>
      <c r="F61" s="2">
        <f t="shared" si="1"/>
        <v>0</v>
      </c>
      <c r="G61" s="1" t="str">
        <f>IF(A61 = "", "", COUNTIF('Game Record'!G:G, A61))</f>
        <v/>
      </c>
      <c r="H61" s="6" t="str">
        <f>IF(A61 = "", "", COUNTIF('Game Record'!H:H, A61))</f>
        <v/>
      </c>
      <c r="I61" s="2">
        <f>IFERROR(__xludf.DUMMYFUNCTION("SUM(FILTER(TeamARecordSet, INDEX(TeamARecordSet, 0, 1) = A61)) + SUM(FILTER(TeamBRecordSet, INDEX(TeamBRecordSet, 0, 1) = A61))"),0.0)</f>
        <v>0</v>
      </c>
      <c r="J61" s="2">
        <f t="shared" si="2"/>
        <v>0</v>
      </c>
      <c r="K61" s="2" t="str">
        <f t="shared" si="3"/>
        <v/>
      </c>
    </row>
    <row r="62">
      <c r="A62" s="2"/>
      <c r="B62" s="7"/>
      <c r="D62" s="5" t="str">
        <f>IF(A62 = "", "", COUNTIFS('Game Record'!G:G, A62, 'Game Record'!E:E, C62))</f>
        <v/>
      </c>
      <c r="E62" s="6" t="str">
        <f>IF(A62 = "", "", COUNTIFS('Game Record'!H:H, A62, 'Game Record'!E:E, C62))</f>
        <v/>
      </c>
      <c r="F62" s="2">
        <f t="shared" si="1"/>
        <v>0</v>
      </c>
      <c r="G62" s="1" t="str">
        <f>IF(A62 = "", "", COUNTIF('Game Record'!G:G, A62))</f>
        <v/>
      </c>
      <c r="H62" s="6" t="str">
        <f>IF(A62 = "", "", COUNTIF('Game Record'!H:H, A62))</f>
        <v/>
      </c>
      <c r="I62" s="2">
        <f>IFERROR(__xludf.DUMMYFUNCTION("SUM(FILTER(TeamARecordSet, INDEX(TeamARecordSet, 0, 1) = A62)) + SUM(FILTER(TeamBRecordSet, INDEX(TeamBRecordSet, 0, 1) = A62))"),0.0)</f>
        <v>0</v>
      </c>
      <c r="J62" s="2">
        <f t="shared" si="2"/>
        <v>0</v>
      </c>
      <c r="K62" s="2" t="str">
        <f t="shared" si="3"/>
        <v/>
      </c>
    </row>
    <row r="63">
      <c r="A63" s="2"/>
      <c r="B63" s="7"/>
      <c r="D63" s="5" t="str">
        <f>IF(A63 = "", "", COUNTIFS('Game Record'!G:G, A63, 'Game Record'!E:E, C63))</f>
        <v/>
      </c>
      <c r="E63" s="6" t="str">
        <f>IF(A63 = "", "", COUNTIFS('Game Record'!H:H, A63, 'Game Record'!E:E, C63))</f>
        <v/>
      </c>
      <c r="F63" s="2">
        <f t="shared" si="1"/>
        <v>0</v>
      </c>
      <c r="G63" s="1" t="str">
        <f>IF(A63 = "", "", COUNTIF('Game Record'!G:G, A63))</f>
        <v/>
      </c>
      <c r="H63" s="6" t="str">
        <f>IF(A63 = "", "", COUNTIF('Game Record'!H:H, A63))</f>
        <v/>
      </c>
      <c r="I63" s="2">
        <f>IFERROR(__xludf.DUMMYFUNCTION("SUM(FILTER(TeamARecordSet, INDEX(TeamARecordSet, 0, 1) = A63)) + SUM(FILTER(TeamBRecordSet, INDEX(TeamBRecordSet, 0, 1) = A63))"),0.0)</f>
        <v>0</v>
      </c>
      <c r="J63" s="2">
        <f t="shared" si="2"/>
        <v>0</v>
      </c>
      <c r="K63" s="2" t="str">
        <f t="shared" si="3"/>
        <v/>
      </c>
    </row>
    <row r="64">
      <c r="A64" s="2"/>
      <c r="B64" s="7"/>
      <c r="D64" s="5" t="str">
        <f>IF(A64 = "", "", COUNTIFS('Game Record'!G:G, A64, 'Game Record'!E:E, C64))</f>
        <v/>
      </c>
      <c r="E64" s="6" t="str">
        <f>IF(A64 = "", "", COUNTIFS('Game Record'!H:H, A64, 'Game Record'!E:E, C64))</f>
        <v/>
      </c>
      <c r="F64" s="2">
        <f t="shared" si="1"/>
        <v>0</v>
      </c>
      <c r="G64" s="1" t="str">
        <f>IF(A64 = "", "", COUNTIF('Game Record'!G:G, A64))</f>
        <v/>
      </c>
      <c r="H64" s="6" t="str">
        <f>IF(A64 = "", "", COUNTIF('Game Record'!H:H, A64))</f>
        <v/>
      </c>
      <c r="I64" s="2">
        <f>IFERROR(__xludf.DUMMYFUNCTION("SUM(FILTER(TeamARecordSet, INDEX(TeamARecordSet, 0, 1) = A64)) + SUM(FILTER(TeamBRecordSet, INDEX(TeamBRecordSet, 0, 1) = A64))"),0.0)</f>
        <v>0</v>
      </c>
      <c r="J64" s="2">
        <f t="shared" si="2"/>
        <v>0</v>
      </c>
      <c r="K64" s="2" t="str">
        <f t="shared" si="3"/>
        <v/>
      </c>
    </row>
    <row r="65">
      <c r="A65" s="2"/>
      <c r="B65" s="7"/>
      <c r="D65" s="5" t="str">
        <f>IF(A65 = "", "", COUNTIFS('Game Record'!G:G, A65, 'Game Record'!E:E, C65))</f>
        <v/>
      </c>
      <c r="E65" s="6" t="str">
        <f>IF(A65 = "", "", COUNTIFS('Game Record'!H:H, A65, 'Game Record'!E:E, C65))</f>
        <v/>
      </c>
      <c r="F65" s="2">
        <f t="shared" si="1"/>
        <v>0</v>
      </c>
      <c r="G65" s="1" t="str">
        <f>IF(A65 = "", "", COUNTIF('Game Record'!G:G, A65))</f>
        <v/>
      </c>
      <c r="H65" s="6" t="str">
        <f>IF(A65 = "", "", COUNTIF('Game Record'!H:H, A65))</f>
        <v/>
      </c>
      <c r="I65" s="2">
        <f>IFERROR(__xludf.DUMMYFUNCTION("SUM(FILTER(TeamARecordSet, INDEX(TeamARecordSet, 0, 1) = A65)) + SUM(FILTER(TeamBRecordSet, INDEX(TeamBRecordSet, 0, 1) = A65))"),0.0)</f>
        <v>0</v>
      </c>
      <c r="J65" s="2">
        <f t="shared" si="2"/>
        <v>0</v>
      </c>
      <c r="K65" s="2" t="str">
        <f t="shared" si="3"/>
        <v/>
      </c>
    </row>
    <row r="66">
      <c r="A66" s="2"/>
      <c r="B66" s="7"/>
      <c r="D66" s="5" t="str">
        <f>IF(A66 = "", "", COUNTIFS('Game Record'!G:G, A66, 'Game Record'!E:E, C66))</f>
        <v/>
      </c>
      <c r="E66" s="6" t="str">
        <f>IF(A66 = "", "", COUNTIFS('Game Record'!H:H, A66, 'Game Record'!E:E, C66))</f>
        <v/>
      </c>
      <c r="F66" s="2">
        <f t="shared" si="1"/>
        <v>0</v>
      </c>
      <c r="G66" s="1" t="str">
        <f>IF(A66 = "", "", COUNTIF('Game Record'!G:G, A66))</f>
        <v/>
      </c>
      <c r="H66" s="6" t="str">
        <f>IF(A66 = "", "", COUNTIF('Game Record'!H:H, A66))</f>
        <v/>
      </c>
      <c r="I66" s="2">
        <f>IFERROR(__xludf.DUMMYFUNCTION("SUM(FILTER(TeamARecordSet, INDEX(TeamARecordSet, 0, 1) = A66)) + SUM(FILTER(TeamBRecordSet, INDEX(TeamBRecordSet, 0, 1) = A66))"),0.0)</f>
        <v>0</v>
      </c>
      <c r="J66" s="2">
        <f t="shared" si="2"/>
        <v>0</v>
      </c>
      <c r="K66" s="2" t="str">
        <f t="shared" si="3"/>
        <v/>
      </c>
    </row>
    <row r="67">
      <c r="A67" s="2"/>
      <c r="B67" s="7"/>
      <c r="D67" s="5" t="str">
        <f>IF(A67 = "", "", COUNTIFS('Game Record'!G:G, A67, 'Game Record'!E:E, C67))</f>
        <v/>
      </c>
      <c r="E67" s="6" t="str">
        <f>IF(A67 = "", "", COUNTIFS('Game Record'!H:H, A67, 'Game Record'!E:E, C67))</f>
        <v/>
      </c>
      <c r="F67" s="2">
        <f t="shared" si="1"/>
        <v>0</v>
      </c>
      <c r="G67" s="1" t="str">
        <f>IF(A67 = "", "", COUNTIF('Game Record'!G:G, A67))</f>
        <v/>
      </c>
      <c r="H67" s="6" t="str">
        <f>IF(A67 = "", "", COUNTIF('Game Record'!H:H, A67))</f>
        <v/>
      </c>
      <c r="I67" s="2">
        <f>IFERROR(__xludf.DUMMYFUNCTION("SUM(FILTER(TeamARecordSet, INDEX(TeamARecordSet, 0, 1) = A67)) + SUM(FILTER(TeamBRecordSet, INDEX(TeamBRecordSet, 0, 1) = A67))"),0.0)</f>
        <v>0</v>
      </c>
      <c r="J67" s="2">
        <f t="shared" si="2"/>
        <v>0</v>
      </c>
      <c r="K67" s="2" t="str">
        <f t="shared" si="3"/>
        <v/>
      </c>
    </row>
    <row r="68">
      <c r="A68" s="2"/>
      <c r="B68" s="7"/>
      <c r="D68" s="5" t="str">
        <f>IF(A68 = "", "", COUNTIFS('Game Record'!G:G, A68, 'Game Record'!E:E, C68))</f>
        <v/>
      </c>
      <c r="E68" s="6" t="str">
        <f>IF(A68 = "", "", COUNTIFS('Game Record'!H:H, A68, 'Game Record'!E:E, C68))</f>
        <v/>
      </c>
      <c r="F68" s="2">
        <f t="shared" si="1"/>
        <v>0</v>
      </c>
      <c r="G68" s="1" t="str">
        <f>IF(A68 = "", "", COUNTIF('Game Record'!G:G, A68))</f>
        <v/>
      </c>
      <c r="H68" s="6" t="str">
        <f>IF(A68 = "", "", COUNTIF('Game Record'!H:H, A68))</f>
        <v/>
      </c>
      <c r="I68" s="2">
        <f>IFERROR(__xludf.DUMMYFUNCTION("SUM(FILTER(TeamARecordSet, INDEX(TeamARecordSet, 0, 1) = A68)) + SUM(FILTER(TeamBRecordSet, INDEX(TeamBRecordSet, 0, 1) = A68))"),0.0)</f>
        <v>0</v>
      </c>
      <c r="J68" s="2">
        <f t="shared" si="2"/>
        <v>0</v>
      </c>
      <c r="K68" s="2" t="str">
        <f t="shared" si="3"/>
        <v/>
      </c>
    </row>
    <row r="69">
      <c r="A69" s="2"/>
      <c r="B69" s="7"/>
      <c r="D69" s="5" t="str">
        <f>IF(A69 = "", "", COUNTIFS('Game Record'!G:G, A69, 'Game Record'!E:E, C69))</f>
        <v/>
      </c>
      <c r="E69" s="6" t="str">
        <f>IF(A69 = "", "", COUNTIFS('Game Record'!H:H, A69, 'Game Record'!E:E, C69))</f>
        <v/>
      </c>
      <c r="F69" s="2">
        <f t="shared" si="1"/>
        <v>0</v>
      </c>
      <c r="G69" s="1" t="str">
        <f>IF(A69 = "", "", COUNTIF('Game Record'!G:G, A69))</f>
        <v/>
      </c>
      <c r="H69" s="6" t="str">
        <f>IF(A69 = "", "", COUNTIF('Game Record'!H:H, A69))</f>
        <v/>
      </c>
      <c r="I69" s="2">
        <f>IFERROR(__xludf.DUMMYFUNCTION("SUM(FILTER(TeamARecordSet, INDEX(TeamARecordSet, 0, 1) = A69)) + SUM(FILTER(TeamBRecordSet, INDEX(TeamBRecordSet, 0, 1) = A69))"),0.0)</f>
        <v>0</v>
      </c>
      <c r="J69" s="2">
        <f t="shared" si="2"/>
        <v>0</v>
      </c>
      <c r="K69" s="2" t="str">
        <f t="shared" si="3"/>
        <v/>
      </c>
    </row>
    <row r="70">
      <c r="A70" s="2"/>
      <c r="B70" s="7"/>
      <c r="D70" s="5" t="str">
        <f>IF(A70 = "", "", COUNTIFS('Game Record'!G:G, A70, 'Game Record'!E:E, C70))</f>
        <v/>
      </c>
      <c r="E70" s="6" t="str">
        <f>IF(A70 = "", "", COUNTIFS('Game Record'!H:H, A70, 'Game Record'!E:E, C70))</f>
        <v/>
      </c>
      <c r="F70" s="2">
        <f t="shared" si="1"/>
        <v>0</v>
      </c>
      <c r="G70" s="1" t="str">
        <f>IF(A70 = "", "", COUNTIF('Game Record'!G:G, A70))</f>
        <v/>
      </c>
      <c r="H70" s="6" t="str">
        <f>IF(A70 = "", "", COUNTIF('Game Record'!H:H, A70))</f>
        <v/>
      </c>
      <c r="I70" s="2">
        <f>IFERROR(__xludf.DUMMYFUNCTION("SUM(FILTER(TeamARecordSet, INDEX(TeamARecordSet, 0, 1) = A70)) + SUM(FILTER(TeamBRecordSet, INDEX(TeamBRecordSet, 0, 1) = A70))"),0.0)</f>
        <v>0</v>
      </c>
      <c r="J70" s="2">
        <f t="shared" si="2"/>
        <v>0</v>
      </c>
      <c r="K70" s="2" t="str">
        <f t="shared" si="3"/>
        <v/>
      </c>
    </row>
    <row r="71">
      <c r="A71" s="2"/>
      <c r="B71" s="7"/>
      <c r="D71" s="5" t="str">
        <f>IF(A71 = "", "", COUNTIFS('Game Record'!G:G, A71, 'Game Record'!E:E, C71))</f>
        <v/>
      </c>
      <c r="E71" s="6" t="str">
        <f>IF(A71 = "", "", COUNTIFS('Game Record'!H:H, A71, 'Game Record'!E:E, C71))</f>
        <v/>
      </c>
      <c r="F71" s="2">
        <f t="shared" si="1"/>
        <v>0</v>
      </c>
      <c r="G71" s="1" t="str">
        <f>IF(A71 = "", "", COUNTIF('Game Record'!G:G, A71))</f>
        <v/>
      </c>
      <c r="H71" s="6" t="str">
        <f>IF(A71 = "", "", COUNTIF('Game Record'!H:H, A71))</f>
        <v/>
      </c>
      <c r="I71" s="2">
        <f>IFERROR(__xludf.DUMMYFUNCTION("SUM(FILTER(TeamARecordSet, INDEX(TeamARecordSet, 0, 1) = A71)) + SUM(FILTER(TeamBRecordSet, INDEX(TeamBRecordSet, 0, 1) = A71))"),0.0)</f>
        <v>0</v>
      </c>
      <c r="J71" s="2">
        <f t="shared" si="2"/>
        <v>0</v>
      </c>
      <c r="K71" s="2" t="str">
        <f t="shared" si="3"/>
        <v/>
      </c>
    </row>
    <row r="72">
      <c r="A72" s="2"/>
      <c r="B72" s="7"/>
      <c r="D72" s="5" t="str">
        <f>IF(A72 = "", "", COUNTIFS('Game Record'!G:G, A72, 'Game Record'!E:E, C72))</f>
        <v/>
      </c>
      <c r="E72" s="6" t="str">
        <f>IF(A72 = "", "", COUNTIFS('Game Record'!H:H, A72, 'Game Record'!E:E, C72))</f>
        <v/>
      </c>
      <c r="F72" s="2">
        <f t="shared" si="1"/>
        <v>0</v>
      </c>
      <c r="G72" s="1" t="str">
        <f>IF(A72 = "", "", COUNTIF('Game Record'!G:G, A72))</f>
        <v/>
      </c>
      <c r="H72" s="6" t="str">
        <f>IF(A72 = "", "", COUNTIF('Game Record'!H:H, A72))</f>
        <v/>
      </c>
      <c r="I72" s="2">
        <f>IFERROR(__xludf.DUMMYFUNCTION("SUM(FILTER(TeamARecordSet, INDEX(TeamARecordSet, 0, 1) = A72)) + SUM(FILTER(TeamBRecordSet, INDEX(TeamBRecordSet, 0, 1) = A72))"),0.0)</f>
        <v>0</v>
      </c>
      <c r="J72" s="2">
        <f t="shared" si="2"/>
        <v>0</v>
      </c>
      <c r="K72" s="2" t="str">
        <f t="shared" si="3"/>
        <v/>
      </c>
    </row>
    <row r="73">
      <c r="A73" s="2"/>
      <c r="B73" s="7"/>
      <c r="D73" s="5" t="str">
        <f>IF(A73 = "", "", COUNTIFS('Game Record'!G:G, A73, 'Game Record'!E:E, C73))</f>
        <v/>
      </c>
      <c r="E73" s="6" t="str">
        <f>IF(A73 = "", "", COUNTIFS('Game Record'!H:H, A73, 'Game Record'!E:E, C73))</f>
        <v/>
      </c>
      <c r="F73" s="2">
        <f t="shared" si="1"/>
        <v>0</v>
      </c>
      <c r="G73" s="1" t="str">
        <f>IF(A73 = "", "", COUNTIF('Game Record'!G:G, A73))</f>
        <v/>
      </c>
      <c r="H73" s="6" t="str">
        <f>IF(A73 = "", "", COUNTIF('Game Record'!H:H, A73))</f>
        <v/>
      </c>
      <c r="I73" s="2">
        <f>IFERROR(__xludf.DUMMYFUNCTION("SUM(FILTER(TeamARecordSet, INDEX(TeamARecordSet, 0, 1) = A73)) + SUM(FILTER(TeamBRecordSet, INDEX(TeamBRecordSet, 0, 1) = A73))"),0.0)</f>
        <v>0</v>
      </c>
      <c r="J73" s="2">
        <f t="shared" si="2"/>
        <v>0</v>
      </c>
      <c r="K73" s="2" t="str">
        <f t="shared" si="3"/>
        <v/>
      </c>
    </row>
    <row r="74">
      <c r="A74" s="2"/>
      <c r="B74" s="7"/>
      <c r="D74" s="5" t="str">
        <f>IF(A74 = "", "", COUNTIFS('Game Record'!G:G, A74, 'Game Record'!E:E, C74))</f>
        <v/>
      </c>
      <c r="E74" s="6" t="str">
        <f>IF(A74 = "", "", COUNTIFS('Game Record'!H:H, A74, 'Game Record'!E:E, C74))</f>
        <v/>
      </c>
      <c r="F74" s="2">
        <f t="shared" si="1"/>
        <v>0</v>
      </c>
      <c r="G74" s="1" t="str">
        <f>IF(A74 = "", "", COUNTIF('Game Record'!G:G, A74))</f>
        <v/>
      </c>
      <c r="H74" s="6" t="str">
        <f>IF(A74 = "", "", COUNTIF('Game Record'!H:H, A74))</f>
        <v/>
      </c>
      <c r="I74" s="2">
        <f>IFERROR(__xludf.DUMMYFUNCTION("SUM(FILTER(TeamARecordSet, INDEX(TeamARecordSet, 0, 1) = A74)) + SUM(FILTER(TeamBRecordSet, INDEX(TeamBRecordSet, 0, 1) = A74))"),0.0)</f>
        <v>0</v>
      </c>
      <c r="J74" s="2">
        <f t="shared" si="2"/>
        <v>0</v>
      </c>
      <c r="K74" s="2" t="str">
        <f t="shared" si="3"/>
        <v/>
      </c>
    </row>
    <row r="75">
      <c r="A75" s="2"/>
      <c r="B75" s="7"/>
      <c r="D75" s="5" t="str">
        <f>IF(A75 = "", "", COUNTIFS('Game Record'!G:G, A75, 'Game Record'!E:E, C75))</f>
        <v/>
      </c>
      <c r="E75" s="6" t="str">
        <f>IF(A75 = "", "", COUNTIFS('Game Record'!H:H, A75, 'Game Record'!E:E, C75))</f>
        <v/>
      </c>
      <c r="F75" s="2">
        <f t="shared" si="1"/>
        <v>0</v>
      </c>
      <c r="G75" s="1" t="str">
        <f>IF(A75 = "", "", COUNTIF('Game Record'!G:G, A75))</f>
        <v/>
      </c>
      <c r="H75" s="6" t="str">
        <f>IF(A75 = "", "", COUNTIF('Game Record'!H:H, A75))</f>
        <v/>
      </c>
      <c r="I75" s="2">
        <f>IFERROR(__xludf.DUMMYFUNCTION("SUM(FILTER(TeamARecordSet, INDEX(TeamARecordSet, 0, 1) = A75)) + SUM(FILTER(TeamBRecordSet, INDEX(TeamBRecordSet, 0, 1) = A75))"),0.0)</f>
        <v>0</v>
      </c>
      <c r="J75" s="2">
        <f t="shared" si="2"/>
        <v>0</v>
      </c>
      <c r="K75" s="2" t="str">
        <f t="shared" si="3"/>
        <v/>
      </c>
    </row>
    <row r="76">
      <c r="A76" s="2"/>
      <c r="B76" s="7"/>
      <c r="D76" s="5" t="str">
        <f>IF(A76 = "", "", COUNTIFS('Game Record'!G:G, A76, 'Game Record'!E:E, C76))</f>
        <v/>
      </c>
      <c r="E76" s="6" t="str">
        <f>IF(A76 = "", "", COUNTIFS('Game Record'!H:H, A76, 'Game Record'!E:E, C76))</f>
        <v/>
      </c>
      <c r="F76" s="2">
        <f t="shared" si="1"/>
        <v>0</v>
      </c>
      <c r="G76" s="1" t="str">
        <f>IF(A76 = "", "", COUNTIF('Game Record'!G:G, A76))</f>
        <v/>
      </c>
      <c r="H76" s="6" t="str">
        <f>IF(A76 = "", "", COUNTIF('Game Record'!H:H, A76))</f>
        <v/>
      </c>
      <c r="I76" s="2">
        <f>IFERROR(__xludf.DUMMYFUNCTION("SUM(FILTER(TeamARecordSet, INDEX(TeamARecordSet, 0, 1) = A76)) + SUM(FILTER(TeamBRecordSet, INDEX(TeamBRecordSet, 0, 1) = A76))"),0.0)</f>
        <v>0</v>
      </c>
      <c r="J76" s="2">
        <f t="shared" si="2"/>
        <v>0</v>
      </c>
      <c r="K76" s="2" t="str">
        <f t="shared" si="3"/>
        <v/>
      </c>
    </row>
    <row r="77">
      <c r="A77" s="2"/>
      <c r="B77" s="7"/>
      <c r="D77" s="5" t="str">
        <f>IF(A77 = "", "", COUNTIFS('Game Record'!G:G, A77, 'Game Record'!E:E, C77))</f>
        <v/>
      </c>
      <c r="E77" s="6" t="str">
        <f>IF(A77 = "", "", COUNTIFS('Game Record'!H:H, A77, 'Game Record'!E:E, C77))</f>
        <v/>
      </c>
      <c r="F77" s="2">
        <f t="shared" si="1"/>
        <v>0</v>
      </c>
      <c r="G77" s="1" t="str">
        <f>IF(A77 = "", "", COUNTIF('Game Record'!G:G, A77))</f>
        <v/>
      </c>
      <c r="H77" s="6" t="str">
        <f>IF(A77 = "", "", COUNTIF('Game Record'!H:H, A77))</f>
        <v/>
      </c>
      <c r="I77" s="2">
        <f>IFERROR(__xludf.DUMMYFUNCTION("SUM(FILTER(TeamARecordSet, INDEX(TeamARecordSet, 0, 1) = A77)) + SUM(FILTER(TeamBRecordSet, INDEX(TeamBRecordSet, 0, 1) = A77))"),0.0)</f>
        <v>0</v>
      </c>
      <c r="J77" s="2">
        <f t="shared" si="2"/>
        <v>0</v>
      </c>
      <c r="K77" s="2" t="str">
        <f t="shared" si="3"/>
        <v/>
      </c>
    </row>
    <row r="78">
      <c r="A78" s="2"/>
      <c r="B78" s="7"/>
      <c r="D78" s="5" t="str">
        <f>IF(A78 = "", "", COUNTIFS('Game Record'!G:G, A78, 'Game Record'!E:E, C78))</f>
        <v/>
      </c>
      <c r="E78" s="6" t="str">
        <f>IF(A78 = "", "", COUNTIFS('Game Record'!H:H, A78, 'Game Record'!E:E, C78))</f>
        <v/>
      </c>
      <c r="F78" s="2">
        <f t="shared" si="1"/>
        <v>0</v>
      </c>
      <c r="G78" s="1" t="str">
        <f>IF(A78 = "", "", COUNTIF('Game Record'!G:G, A78))</f>
        <v/>
      </c>
      <c r="H78" s="6" t="str">
        <f>IF(A78 = "", "", COUNTIF('Game Record'!H:H, A78))</f>
        <v/>
      </c>
      <c r="I78" s="2">
        <f>IFERROR(__xludf.DUMMYFUNCTION("SUM(FILTER(TeamARecordSet, INDEX(TeamARecordSet, 0, 1) = A78)) + SUM(FILTER(TeamBRecordSet, INDEX(TeamBRecordSet, 0, 1) = A78))"),0.0)</f>
        <v>0</v>
      </c>
      <c r="J78" s="2">
        <f t="shared" si="2"/>
        <v>0</v>
      </c>
      <c r="K78" s="2" t="str">
        <f t="shared" si="3"/>
        <v/>
      </c>
    </row>
    <row r="79">
      <c r="A79" s="2"/>
      <c r="B79" s="7"/>
      <c r="D79" s="5" t="str">
        <f>IF(A79 = "", "", COUNTIFS('Game Record'!G:G, A79, 'Game Record'!E:E, C79))</f>
        <v/>
      </c>
      <c r="E79" s="6" t="str">
        <f>IF(A79 = "", "", COUNTIFS('Game Record'!H:H, A79, 'Game Record'!E:E, C79))</f>
        <v/>
      </c>
      <c r="F79" s="2">
        <f t="shared" si="1"/>
        <v>0</v>
      </c>
      <c r="G79" s="1" t="str">
        <f>IF(A79 = "", "", COUNTIF('Game Record'!G:G, A79))</f>
        <v/>
      </c>
      <c r="H79" s="6" t="str">
        <f>IF(A79 = "", "", COUNTIF('Game Record'!H:H, A79))</f>
        <v/>
      </c>
      <c r="I79" s="2">
        <f>IFERROR(__xludf.DUMMYFUNCTION("SUM(FILTER(TeamARecordSet, INDEX(TeamARecordSet, 0, 1) = A79)) + SUM(FILTER(TeamBRecordSet, INDEX(TeamBRecordSet, 0, 1) = A79))"),0.0)</f>
        <v>0</v>
      </c>
      <c r="J79" s="2">
        <f t="shared" si="2"/>
        <v>0</v>
      </c>
      <c r="K79" s="2" t="str">
        <f t="shared" si="3"/>
        <v/>
      </c>
    </row>
    <row r="80">
      <c r="A80" s="2"/>
      <c r="B80" s="7"/>
      <c r="D80" s="5" t="str">
        <f>IF(A80 = "", "", COUNTIFS('Game Record'!G:G, A80, 'Game Record'!E:E, C80))</f>
        <v/>
      </c>
      <c r="E80" s="6" t="str">
        <f>IF(A80 = "", "", COUNTIFS('Game Record'!H:H, A80, 'Game Record'!E:E, C80))</f>
        <v/>
      </c>
      <c r="F80" s="2">
        <f t="shared" si="1"/>
        <v>0</v>
      </c>
      <c r="G80" s="1" t="str">
        <f>IF(A80 = "", "", COUNTIF('Game Record'!G:G, A80))</f>
        <v/>
      </c>
      <c r="H80" s="6" t="str">
        <f>IF(A80 = "", "", COUNTIF('Game Record'!H:H, A80))</f>
        <v/>
      </c>
      <c r="I80" s="2">
        <f>IFERROR(__xludf.DUMMYFUNCTION("SUM(FILTER(TeamARecordSet, INDEX(TeamARecordSet, 0, 1) = A80)) + SUM(FILTER(TeamBRecordSet, INDEX(TeamBRecordSet, 0, 1) = A80))"),0.0)</f>
        <v>0</v>
      </c>
      <c r="J80" s="2">
        <f t="shared" si="2"/>
        <v>0</v>
      </c>
      <c r="K80" s="2" t="str">
        <f t="shared" si="3"/>
        <v/>
      </c>
    </row>
    <row r="81">
      <c r="A81" s="2"/>
      <c r="B81" s="7"/>
      <c r="D81" s="5" t="str">
        <f>IF(A81 = "", "", COUNTIFS('Game Record'!G:G, A81, 'Game Record'!E:E, C81))</f>
        <v/>
      </c>
      <c r="E81" s="6" t="str">
        <f>IF(A81 = "", "", COUNTIFS('Game Record'!H:H, A81, 'Game Record'!E:E, C81))</f>
        <v/>
      </c>
      <c r="F81" s="2">
        <f t="shared" si="1"/>
        <v>0</v>
      </c>
      <c r="G81" s="1" t="str">
        <f>IF(A81 = "", "", COUNTIF('Game Record'!G:G, A81))</f>
        <v/>
      </c>
      <c r="H81" s="6" t="str">
        <f>IF(A81 = "", "", COUNTIF('Game Record'!H:H, A81))</f>
        <v/>
      </c>
      <c r="I81" s="2">
        <f>IFERROR(__xludf.DUMMYFUNCTION("SUM(FILTER(TeamARecordSet, INDEX(TeamARecordSet, 0, 1) = A81)) + SUM(FILTER(TeamBRecordSet, INDEX(TeamBRecordSet, 0, 1) = A81))"),0.0)</f>
        <v>0</v>
      </c>
      <c r="J81" s="2">
        <f t="shared" si="2"/>
        <v>0</v>
      </c>
      <c r="K81" s="2" t="str">
        <f t="shared" si="3"/>
        <v/>
      </c>
    </row>
    <row r="82">
      <c r="A82" s="2"/>
      <c r="B82" s="7"/>
      <c r="D82" s="5" t="str">
        <f>IF(A82 = "", "", COUNTIFS('Game Record'!G:G, A82, 'Game Record'!E:E, C82))</f>
        <v/>
      </c>
      <c r="E82" s="6" t="str">
        <f>IF(A82 = "", "", COUNTIFS('Game Record'!H:H, A82, 'Game Record'!E:E, C82))</f>
        <v/>
      </c>
      <c r="F82" s="2">
        <f t="shared" si="1"/>
        <v>0</v>
      </c>
      <c r="G82" s="1" t="str">
        <f>IF(A82 = "", "", COUNTIF('Game Record'!G:G, A82))</f>
        <v/>
      </c>
      <c r="H82" s="6" t="str">
        <f>IF(A82 = "", "", COUNTIF('Game Record'!H:H, A82))</f>
        <v/>
      </c>
      <c r="I82" s="2">
        <f>IFERROR(__xludf.DUMMYFUNCTION("SUM(FILTER(TeamARecordSet, INDEX(TeamARecordSet, 0, 1) = A82)) + SUM(FILTER(TeamBRecordSet, INDEX(TeamBRecordSet, 0, 1) = A82))"),0.0)</f>
        <v>0</v>
      </c>
      <c r="J82" s="2">
        <f t="shared" si="2"/>
        <v>0</v>
      </c>
      <c r="K82" s="2" t="str">
        <f t="shared" si="3"/>
        <v/>
      </c>
    </row>
    <row r="83">
      <c r="A83" s="2"/>
      <c r="B83" s="7"/>
      <c r="D83" s="5" t="str">
        <f>IF(A83 = "", "", COUNTIFS('Game Record'!G:G, A83, 'Game Record'!E:E, C83))</f>
        <v/>
      </c>
      <c r="E83" s="6" t="str">
        <f>IF(A83 = "", "", COUNTIFS('Game Record'!H:H, A83, 'Game Record'!E:E, C83))</f>
        <v/>
      </c>
      <c r="F83" s="2">
        <f t="shared" si="1"/>
        <v>0</v>
      </c>
      <c r="G83" s="1" t="str">
        <f>IF(A83 = "", "", COUNTIF('Game Record'!G:G, A83))</f>
        <v/>
      </c>
      <c r="H83" s="6" t="str">
        <f>IF(A83 = "", "", COUNTIF('Game Record'!H:H, A83))</f>
        <v/>
      </c>
      <c r="I83" s="2">
        <f>IFERROR(__xludf.DUMMYFUNCTION("SUM(FILTER(TeamARecordSet, INDEX(TeamARecordSet, 0, 1) = A83)) + SUM(FILTER(TeamBRecordSet, INDEX(TeamBRecordSet, 0, 1) = A83))"),0.0)</f>
        <v>0</v>
      </c>
      <c r="J83" s="2">
        <f t="shared" si="2"/>
        <v>0</v>
      </c>
      <c r="K83" s="2" t="str">
        <f t="shared" si="3"/>
        <v/>
      </c>
    </row>
    <row r="84">
      <c r="A84" s="2"/>
      <c r="B84" s="7"/>
      <c r="D84" s="5" t="str">
        <f>IF(A84 = "", "", COUNTIFS('Game Record'!G:G, A84, 'Game Record'!E:E, C84))</f>
        <v/>
      </c>
      <c r="E84" s="6" t="str">
        <f>IF(A84 = "", "", COUNTIFS('Game Record'!H:H, A84, 'Game Record'!E:E, C84))</f>
        <v/>
      </c>
      <c r="F84" s="2">
        <f t="shared" si="1"/>
        <v>0</v>
      </c>
      <c r="G84" s="1" t="str">
        <f>IF(A84 = "", "", COUNTIF('Game Record'!G:G, A84))</f>
        <v/>
      </c>
      <c r="H84" s="6" t="str">
        <f>IF(A84 = "", "", COUNTIF('Game Record'!H:H, A84))</f>
        <v/>
      </c>
      <c r="I84" s="2">
        <f>IFERROR(__xludf.DUMMYFUNCTION("SUM(FILTER(TeamARecordSet, INDEX(TeamARecordSet, 0, 1) = A84)) + SUM(FILTER(TeamBRecordSet, INDEX(TeamBRecordSet, 0, 1) = A84))"),0.0)</f>
        <v>0</v>
      </c>
      <c r="J84" s="2">
        <f t="shared" si="2"/>
        <v>0</v>
      </c>
      <c r="K84" s="2" t="str">
        <f t="shared" si="3"/>
        <v/>
      </c>
    </row>
    <row r="85">
      <c r="A85" s="2"/>
      <c r="B85" s="7"/>
      <c r="D85" s="5" t="str">
        <f>IF(A85 = "", "", COUNTIFS('Game Record'!G:G, A85, 'Game Record'!E:E, C85))</f>
        <v/>
      </c>
      <c r="E85" s="6" t="str">
        <f>IF(A85 = "", "", COUNTIFS('Game Record'!H:H, A85, 'Game Record'!E:E, C85))</f>
        <v/>
      </c>
      <c r="F85" s="2">
        <f t="shared" si="1"/>
        <v>0</v>
      </c>
      <c r="G85" s="1" t="str">
        <f>IF(A85 = "", "", COUNTIF('Game Record'!G:G, A85))</f>
        <v/>
      </c>
      <c r="H85" s="6" t="str">
        <f>IF(A85 = "", "", COUNTIF('Game Record'!H:H, A85))</f>
        <v/>
      </c>
      <c r="I85" s="2">
        <f>IFERROR(__xludf.DUMMYFUNCTION("SUM(FILTER(TeamARecordSet, INDEX(TeamARecordSet, 0, 1) = A85)) + SUM(FILTER(TeamBRecordSet, INDEX(TeamBRecordSet, 0, 1) = A85))"),0.0)</f>
        <v>0</v>
      </c>
      <c r="J85" s="2">
        <f t="shared" si="2"/>
        <v>0</v>
      </c>
      <c r="K85" s="2" t="str">
        <f t="shared" si="3"/>
        <v/>
      </c>
    </row>
    <row r="86">
      <c r="A86" s="2"/>
      <c r="B86" s="7"/>
      <c r="D86" s="5" t="str">
        <f>IF(A86 = "", "", COUNTIFS('Game Record'!G:G, A86, 'Game Record'!E:E, C86))</f>
        <v/>
      </c>
      <c r="E86" s="6" t="str">
        <f>IF(A86 = "", "", COUNTIFS('Game Record'!H:H, A86, 'Game Record'!E:E, C86))</f>
        <v/>
      </c>
      <c r="F86" s="2">
        <f t="shared" si="1"/>
        <v>0</v>
      </c>
      <c r="G86" s="1" t="str">
        <f>IF(A86 = "", "", COUNTIF('Game Record'!G:G, A86))</f>
        <v/>
      </c>
      <c r="H86" s="6" t="str">
        <f>IF(A86 = "", "", COUNTIF('Game Record'!H:H, A86))</f>
        <v/>
      </c>
      <c r="I86" s="2">
        <f>IFERROR(__xludf.DUMMYFUNCTION("SUM(FILTER(TeamARecordSet, INDEX(TeamARecordSet, 0, 1) = A86)) + SUM(FILTER(TeamBRecordSet, INDEX(TeamBRecordSet, 0, 1) = A86))"),0.0)</f>
        <v>0</v>
      </c>
      <c r="J86" s="2">
        <f t="shared" si="2"/>
        <v>0</v>
      </c>
      <c r="K86" s="2" t="str">
        <f t="shared" si="3"/>
        <v/>
      </c>
    </row>
    <row r="87">
      <c r="A87" s="2"/>
      <c r="B87" s="7"/>
      <c r="D87" s="5" t="str">
        <f>IF(A87 = "", "", COUNTIFS('Game Record'!G:G, A87, 'Game Record'!E:E, C87))</f>
        <v/>
      </c>
      <c r="E87" s="6" t="str">
        <f>IF(A87 = "", "", COUNTIFS('Game Record'!H:H, A87, 'Game Record'!E:E, C87))</f>
        <v/>
      </c>
      <c r="F87" s="2">
        <f t="shared" si="1"/>
        <v>0</v>
      </c>
      <c r="G87" s="1" t="str">
        <f>IF(A87 = "", "", COUNTIF('Game Record'!G:G, A87))</f>
        <v/>
      </c>
      <c r="H87" s="6" t="str">
        <f>IF(A87 = "", "", COUNTIF('Game Record'!H:H, A87))</f>
        <v/>
      </c>
      <c r="I87" s="2">
        <f>IFERROR(__xludf.DUMMYFUNCTION("SUM(FILTER(TeamARecordSet, INDEX(TeamARecordSet, 0, 1) = A87)) + SUM(FILTER(TeamBRecordSet, INDEX(TeamBRecordSet, 0, 1) = A87))"),0.0)</f>
        <v>0</v>
      </c>
      <c r="J87" s="2">
        <f t="shared" si="2"/>
        <v>0</v>
      </c>
      <c r="K87" s="2" t="str">
        <f t="shared" si="3"/>
        <v/>
      </c>
    </row>
    <row r="88">
      <c r="A88" s="2"/>
      <c r="B88" s="7"/>
      <c r="D88" s="5" t="str">
        <f>IF(A88 = "", "", COUNTIFS('Game Record'!G:G, A88, 'Game Record'!E:E, C88))</f>
        <v/>
      </c>
      <c r="E88" s="6" t="str">
        <f>IF(A88 = "", "", COUNTIFS('Game Record'!H:H, A88, 'Game Record'!E:E, C88))</f>
        <v/>
      </c>
      <c r="F88" s="2">
        <f t="shared" si="1"/>
        <v>0</v>
      </c>
      <c r="G88" s="1" t="str">
        <f>IF(A88 = "", "", COUNTIF('Game Record'!G:G, A88))</f>
        <v/>
      </c>
      <c r="H88" s="6" t="str">
        <f>IF(A88 = "", "", COUNTIF('Game Record'!H:H, A88))</f>
        <v/>
      </c>
      <c r="I88" s="2">
        <f>IFERROR(__xludf.DUMMYFUNCTION("SUM(FILTER(TeamARecordSet, INDEX(TeamARecordSet, 0, 1) = A88)) + SUM(FILTER(TeamBRecordSet, INDEX(TeamBRecordSet, 0, 1) = A88))"),0.0)</f>
        <v>0</v>
      </c>
      <c r="J88" s="2">
        <f t="shared" si="2"/>
        <v>0</v>
      </c>
      <c r="K88" s="2" t="str">
        <f t="shared" si="3"/>
        <v/>
      </c>
    </row>
    <row r="89">
      <c r="A89" s="2"/>
      <c r="B89" s="7"/>
      <c r="D89" s="5" t="str">
        <f>IF(A89 = "", "", COUNTIFS('Game Record'!G:G, A89, 'Game Record'!E:E, C89))</f>
        <v/>
      </c>
      <c r="E89" s="6" t="str">
        <f>IF(A89 = "", "", COUNTIFS('Game Record'!H:H, A89, 'Game Record'!E:E, C89))</f>
        <v/>
      </c>
      <c r="F89" s="2">
        <f t="shared" si="1"/>
        <v>0</v>
      </c>
      <c r="G89" s="1" t="str">
        <f>IF(A89 = "", "", COUNTIF('Game Record'!G:G, A89))</f>
        <v/>
      </c>
      <c r="H89" s="6" t="str">
        <f>IF(A89 = "", "", COUNTIF('Game Record'!H:H, A89))</f>
        <v/>
      </c>
      <c r="I89" s="2">
        <f>IFERROR(__xludf.DUMMYFUNCTION("SUM(FILTER(TeamARecordSet, INDEX(TeamARecordSet, 0, 1) = A89)) + SUM(FILTER(TeamBRecordSet, INDEX(TeamBRecordSet, 0, 1) = A89))"),0.0)</f>
        <v>0</v>
      </c>
      <c r="J89" s="2">
        <f t="shared" si="2"/>
        <v>0</v>
      </c>
      <c r="K89" s="2" t="str">
        <f t="shared" si="3"/>
        <v/>
      </c>
    </row>
    <row r="90">
      <c r="A90" s="2"/>
      <c r="B90" s="7"/>
      <c r="D90" s="5" t="str">
        <f>IF(A90 = "", "", COUNTIFS('Game Record'!G:G, A90, 'Game Record'!E:E, C90))</f>
        <v/>
      </c>
      <c r="E90" s="6" t="str">
        <f>IF(A90 = "", "", COUNTIFS('Game Record'!H:H, A90, 'Game Record'!E:E, C90))</f>
        <v/>
      </c>
      <c r="F90" s="2">
        <f t="shared" si="1"/>
        <v>0</v>
      </c>
      <c r="G90" s="1" t="str">
        <f>IF(A90 = "", "", COUNTIF('Game Record'!G:G, A90))</f>
        <v/>
      </c>
      <c r="H90" s="6" t="str">
        <f>IF(A90 = "", "", COUNTIF('Game Record'!H:H, A90))</f>
        <v/>
      </c>
      <c r="I90" s="2">
        <f>IFERROR(__xludf.DUMMYFUNCTION("SUM(FILTER(TeamARecordSet, INDEX(TeamARecordSet, 0, 1) = A90)) + SUM(FILTER(TeamBRecordSet, INDEX(TeamBRecordSet, 0, 1) = A90))"),0.0)</f>
        <v>0</v>
      </c>
      <c r="J90" s="2">
        <f t="shared" si="2"/>
        <v>0</v>
      </c>
      <c r="K90" s="2" t="str">
        <f t="shared" si="3"/>
        <v/>
      </c>
    </row>
    <row r="91">
      <c r="A91" s="2"/>
      <c r="B91" s="7"/>
      <c r="D91" s="5" t="str">
        <f>IF(A91 = "", "", COUNTIFS('Game Record'!G:G, A91, 'Game Record'!E:E, C91))</f>
        <v/>
      </c>
      <c r="E91" s="6" t="str">
        <f>IF(A91 = "", "", COUNTIFS('Game Record'!H:H, A91, 'Game Record'!E:E, C91))</f>
        <v/>
      </c>
      <c r="F91" s="2">
        <f t="shared" si="1"/>
        <v>0</v>
      </c>
      <c r="G91" s="1" t="str">
        <f>IF(A91 = "", "", COUNTIF('Game Record'!G:G, A91))</f>
        <v/>
      </c>
      <c r="H91" s="6" t="str">
        <f>IF(A91 = "", "", COUNTIF('Game Record'!H:H, A91))</f>
        <v/>
      </c>
      <c r="I91" s="2">
        <f>IFERROR(__xludf.DUMMYFUNCTION("SUM(FILTER(TeamARecordSet, INDEX(TeamARecordSet, 0, 1) = A91)) + SUM(FILTER(TeamBRecordSet, INDEX(TeamBRecordSet, 0, 1) = A91))"),0.0)</f>
        <v>0</v>
      </c>
      <c r="J91" s="2">
        <f t="shared" si="2"/>
        <v>0</v>
      </c>
      <c r="K91" s="2" t="str">
        <f t="shared" si="3"/>
        <v/>
      </c>
    </row>
    <row r="92">
      <c r="A92" s="2"/>
      <c r="B92" s="7"/>
      <c r="D92" s="5" t="str">
        <f>IF(A92 = "", "", COUNTIFS('Game Record'!G:G, A92, 'Game Record'!E:E, C92))</f>
        <v/>
      </c>
      <c r="E92" s="6" t="str">
        <f>IF(A92 = "", "", COUNTIFS('Game Record'!H:H, A92, 'Game Record'!E:E, C92))</f>
        <v/>
      </c>
      <c r="F92" s="2">
        <f t="shared" si="1"/>
        <v>0</v>
      </c>
      <c r="G92" s="1" t="str">
        <f>IF(A92 = "", "", COUNTIF('Game Record'!G:G, A92))</f>
        <v/>
      </c>
      <c r="H92" s="6" t="str">
        <f>IF(A92 = "", "", COUNTIF('Game Record'!H:H, A92))</f>
        <v/>
      </c>
      <c r="I92" s="2">
        <f>IFERROR(__xludf.DUMMYFUNCTION("SUM(FILTER(TeamARecordSet, INDEX(TeamARecordSet, 0, 1) = A92)) + SUM(FILTER(TeamBRecordSet, INDEX(TeamBRecordSet, 0, 1) = A92))"),0.0)</f>
        <v>0</v>
      </c>
      <c r="J92" s="2">
        <f t="shared" si="2"/>
        <v>0</v>
      </c>
      <c r="K92" s="2" t="str">
        <f t="shared" si="3"/>
        <v/>
      </c>
    </row>
    <row r="93">
      <c r="A93" s="2"/>
      <c r="B93" s="7"/>
      <c r="D93" s="5" t="str">
        <f>IF(A93 = "", "", COUNTIFS('Game Record'!G:G, A93, 'Game Record'!E:E, C93))</f>
        <v/>
      </c>
      <c r="E93" s="6" t="str">
        <f>IF(A93 = "", "", COUNTIFS('Game Record'!H:H, A93, 'Game Record'!E:E, C93))</f>
        <v/>
      </c>
      <c r="F93" s="2">
        <f t="shared" si="1"/>
        <v>0</v>
      </c>
      <c r="G93" s="1" t="str">
        <f>IF(A93 = "", "", COUNTIF('Game Record'!G:G, A93))</f>
        <v/>
      </c>
      <c r="H93" s="6" t="str">
        <f>IF(A93 = "", "", COUNTIF('Game Record'!H:H, A93))</f>
        <v/>
      </c>
      <c r="I93" s="2">
        <f>IFERROR(__xludf.DUMMYFUNCTION("SUM(FILTER(TeamARecordSet, INDEX(TeamARecordSet, 0, 1) = A93)) + SUM(FILTER(TeamBRecordSet, INDEX(TeamBRecordSet, 0, 1) = A93))"),0.0)</f>
        <v>0</v>
      </c>
      <c r="J93" s="2">
        <f t="shared" si="2"/>
        <v>0</v>
      </c>
      <c r="K93" s="2" t="str">
        <f t="shared" si="3"/>
        <v/>
      </c>
    </row>
    <row r="94">
      <c r="A94" s="2"/>
      <c r="B94" s="7"/>
      <c r="D94" s="5" t="str">
        <f>IF(A94 = "", "", COUNTIFS('Game Record'!G:G, A94, 'Game Record'!E:E, C94))</f>
        <v/>
      </c>
      <c r="E94" s="6" t="str">
        <f>IF(A94 = "", "", COUNTIFS('Game Record'!H:H, A94, 'Game Record'!E:E, C94))</f>
        <v/>
      </c>
      <c r="F94" s="2">
        <f t="shared" si="1"/>
        <v>0</v>
      </c>
      <c r="G94" s="1" t="str">
        <f>IF(A94 = "", "", COUNTIF('Game Record'!G:G, A94))</f>
        <v/>
      </c>
      <c r="H94" s="6" t="str">
        <f>IF(A94 = "", "", COUNTIF('Game Record'!H:H, A94))</f>
        <v/>
      </c>
      <c r="I94" s="2">
        <f>IFERROR(__xludf.DUMMYFUNCTION("SUM(FILTER(TeamARecordSet, INDEX(TeamARecordSet, 0, 1) = A94)) + SUM(FILTER(TeamBRecordSet, INDEX(TeamBRecordSet, 0, 1) = A94))"),0.0)</f>
        <v>0</v>
      </c>
      <c r="J94" s="2">
        <f t="shared" si="2"/>
        <v>0</v>
      </c>
      <c r="K94" s="2" t="str">
        <f t="shared" si="3"/>
        <v/>
      </c>
    </row>
    <row r="95">
      <c r="A95" s="2"/>
      <c r="B95" s="7"/>
      <c r="D95" s="5" t="str">
        <f>IF(A95 = "", "", COUNTIFS('Game Record'!G:G, A95, 'Game Record'!E:E, C95))</f>
        <v/>
      </c>
      <c r="E95" s="6" t="str">
        <f>IF(A95 = "", "", COUNTIFS('Game Record'!H:H, A95, 'Game Record'!E:E, C95))</f>
        <v/>
      </c>
      <c r="F95" s="2">
        <f t="shared" si="1"/>
        <v>0</v>
      </c>
      <c r="G95" s="1" t="str">
        <f>IF(A95 = "", "", COUNTIF('Game Record'!G:G, A95))</f>
        <v/>
      </c>
      <c r="H95" s="6" t="str">
        <f>IF(A95 = "", "", COUNTIF('Game Record'!H:H, A95))</f>
        <v/>
      </c>
      <c r="I95" s="2">
        <f>IFERROR(__xludf.DUMMYFUNCTION("SUM(FILTER(TeamARecordSet, INDEX(TeamARecordSet, 0, 1) = A95)) + SUM(FILTER(TeamBRecordSet, INDEX(TeamBRecordSet, 0, 1) = A95))"),0.0)</f>
        <v>0</v>
      </c>
      <c r="J95" s="2">
        <f t="shared" si="2"/>
        <v>0</v>
      </c>
      <c r="K95" s="2" t="str">
        <f t="shared" si="3"/>
        <v/>
      </c>
    </row>
    <row r="96">
      <c r="A96" s="2"/>
      <c r="B96" s="7"/>
      <c r="D96" s="5" t="str">
        <f>IF(A96 = "", "", COUNTIFS('Game Record'!G:G, A96, 'Game Record'!E:E, C96))</f>
        <v/>
      </c>
      <c r="E96" s="6" t="str">
        <f>IF(A96 = "", "", COUNTIFS('Game Record'!H:H, A96, 'Game Record'!E:E, C96))</f>
        <v/>
      </c>
      <c r="F96" s="2">
        <f t="shared" si="1"/>
        <v>0</v>
      </c>
      <c r="G96" s="1" t="str">
        <f>IF(A96 = "", "", COUNTIF('Game Record'!G:G, A96))</f>
        <v/>
      </c>
      <c r="H96" s="6" t="str">
        <f>IF(A96 = "", "", COUNTIF('Game Record'!H:H, A96))</f>
        <v/>
      </c>
      <c r="I96" s="2">
        <f>IFERROR(__xludf.DUMMYFUNCTION("SUM(FILTER(TeamARecordSet, INDEX(TeamARecordSet, 0, 1) = A96)) + SUM(FILTER(TeamBRecordSet, INDEX(TeamBRecordSet, 0, 1) = A96))"),0.0)</f>
        <v>0</v>
      </c>
      <c r="J96" s="2">
        <f t="shared" si="2"/>
        <v>0</v>
      </c>
      <c r="K96" s="2" t="str">
        <f t="shared" si="3"/>
        <v/>
      </c>
    </row>
    <row r="97">
      <c r="A97" s="2"/>
      <c r="B97" s="7"/>
      <c r="D97" s="5" t="str">
        <f>IF(A97 = "", "", COUNTIFS('Game Record'!G:G, A97, 'Game Record'!E:E, C97))</f>
        <v/>
      </c>
      <c r="E97" s="6" t="str">
        <f>IF(A97 = "", "", COUNTIFS('Game Record'!H:H, A97, 'Game Record'!E:E, C97))</f>
        <v/>
      </c>
      <c r="F97" s="2">
        <f t="shared" si="1"/>
        <v>0</v>
      </c>
      <c r="G97" s="1" t="str">
        <f>IF(A97 = "", "", COUNTIF('Game Record'!G:G, A97))</f>
        <v/>
      </c>
      <c r="H97" s="6" t="str">
        <f>IF(A97 = "", "", COUNTIF('Game Record'!H:H, A97))</f>
        <v/>
      </c>
      <c r="I97" s="2">
        <f>IFERROR(__xludf.DUMMYFUNCTION("SUM(FILTER(TeamARecordSet, INDEX(TeamARecordSet, 0, 1) = A97)) + SUM(FILTER(TeamBRecordSet, INDEX(TeamBRecordSet, 0, 1) = A97))"),0.0)</f>
        <v>0</v>
      </c>
      <c r="J97" s="2">
        <f t="shared" si="2"/>
        <v>0</v>
      </c>
      <c r="K97" s="2" t="str">
        <f t="shared" si="3"/>
        <v/>
      </c>
    </row>
    <row r="98">
      <c r="A98" s="2"/>
      <c r="B98" s="7"/>
      <c r="D98" s="5" t="str">
        <f>IF(A98 = "", "", COUNTIFS('Game Record'!G:G, A98, 'Game Record'!E:E, C98))</f>
        <v/>
      </c>
      <c r="E98" s="6" t="str">
        <f>IF(A98 = "", "", COUNTIFS('Game Record'!H:H, A98, 'Game Record'!E:E, C98))</f>
        <v/>
      </c>
      <c r="F98" s="2">
        <f t="shared" si="1"/>
        <v>0</v>
      </c>
      <c r="G98" s="1" t="str">
        <f>IF(A98 = "", "", COUNTIF('Game Record'!G:G, A98))</f>
        <v/>
      </c>
      <c r="H98" s="6" t="str">
        <f>IF(A98 = "", "", COUNTIF('Game Record'!H:H, A98))</f>
        <v/>
      </c>
      <c r="I98" s="2">
        <f>IFERROR(__xludf.DUMMYFUNCTION("SUM(FILTER(TeamARecordSet, INDEX(TeamARecordSet, 0, 1) = A98)) + SUM(FILTER(TeamBRecordSet, INDEX(TeamBRecordSet, 0, 1) = A98))"),0.0)</f>
        <v>0</v>
      </c>
      <c r="J98" s="2">
        <f t="shared" si="2"/>
        <v>0</v>
      </c>
      <c r="K98" s="2" t="str">
        <f t="shared" si="3"/>
        <v/>
      </c>
    </row>
    <row r="99">
      <c r="A99" s="2"/>
      <c r="B99" s="7"/>
      <c r="D99" s="5" t="str">
        <f>IF(A99 = "", "", COUNTIFS('Game Record'!G:G, A99, 'Game Record'!E:E, C99))</f>
        <v/>
      </c>
      <c r="E99" s="6" t="str">
        <f>IF(A99 = "", "", COUNTIFS('Game Record'!H:H, A99, 'Game Record'!E:E, C99))</f>
        <v/>
      </c>
      <c r="F99" s="2">
        <f t="shared" si="1"/>
        <v>0</v>
      </c>
      <c r="G99" s="1" t="str">
        <f>IF(A99 = "", "", COUNTIF('Game Record'!G:G, A99))</f>
        <v/>
      </c>
      <c r="H99" s="6" t="str">
        <f>IF(A99 = "", "", COUNTIF('Game Record'!H:H, A99))</f>
        <v/>
      </c>
      <c r="I99" s="2">
        <f>IFERROR(__xludf.DUMMYFUNCTION("SUM(FILTER(TeamARecordSet, INDEX(TeamARecordSet, 0, 1) = A99)) + SUM(FILTER(TeamBRecordSet, INDEX(TeamBRecordSet, 0, 1) = A99))"),0.0)</f>
        <v>0</v>
      </c>
      <c r="J99" s="2">
        <f t="shared" si="2"/>
        <v>0</v>
      </c>
      <c r="K99" s="2" t="str">
        <f t="shared" si="3"/>
        <v/>
      </c>
    </row>
    <row r="100">
      <c r="A100" s="2"/>
      <c r="B100" s="7"/>
      <c r="D100" s="5" t="str">
        <f>IF(A100 = "", "", COUNTIFS('Game Record'!G:G, A100, 'Game Record'!E:E, C100))</f>
        <v/>
      </c>
      <c r="E100" s="6" t="str">
        <f>IF(A100 = "", "", COUNTIFS('Game Record'!H:H, A100, 'Game Record'!E:E, C100))</f>
        <v/>
      </c>
      <c r="F100" s="2">
        <f t="shared" si="1"/>
        <v>0</v>
      </c>
      <c r="G100" s="1" t="str">
        <f>IF(A100 = "", "", COUNTIF('Game Record'!G:G, A100))</f>
        <v/>
      </c>
      <c r="H100" s="6" t="str">
        <f>IF(A100 = "", "", COUNTIF('Game Record'!H:H, A100))</f>
        <v/>
      </c>
      <c r="I100" s="2">
        <f>IFERROR(__xludf.DUMMYFUNCTION("SUM(FILTER(TeamARecordSet, INDEX(TeamARecordSet, 0, 1) = A100)) + SUM(FILTER(TeamBRecordSet, INDEX(TeamBRecordSet, 0, 1) = A100))"),0.0)</f>
        <v>0</v>
      </c>
      <c r="J100" s="2">
        <f t="shared" si="2"/>
        <v>0</v>
      </c>
      <c r="K100" s="2" t="str">
        <f t="shared" si="3"/>
        <v/>
      </c>
    </row>
    <row r="101">
      <c r="A101" s="2"/>
      <c r="B101" s="7"/>
      <c r="D101" s="5" t="str">
        <f>IF(A101 = "", "", COUNTIFS('Game Record'!G:G, A101, 'Game Record'!E:E, C101))</f>
        <v/>
      </c>
      <c r="E101" s="6" t="str">
        <f>IF(A101 = "", "", COUNTIFS('Game Record'!H:H, A101, 'Game Record'!E:E, C101))</f>
        <v/>
      </c>
      <c r="F101" s="2">
        <f t="shared" si="1"/>
        <v>0</v>
      </c>
      <c r="G101" s="1" t="str">
        <f>IF(A101 = "", "", COUNTIF('Game Record'!G:G, A101))</f>
        <v/>
      </c>
      <c r="H101" s="6" t="str">
        <f>IF(A101 = "", "", COUNTIF('Game Record'!H:H, A101))</f>
        <v/>
      </c>
      <c r="I101" s="2">
        <f>IFERROR(__xludf.DUMMYFUNCTION("SUM(FILTER(TeamARecordSet, INDEX(TeamARecordSet, 0, 1) = A101)) + SUM(FILTER(TeamBRecordSet, INDEX(TeamBRecordSet, 0, 1) = A101))"),0.0)</f>
        <v>0</v>
      </c>
      <c r="J101" s="2">
        <f t="shared" si="2"/>
        <v>0</v>
      </c>
      <c r="K101" s="2" t="str">
        <f t="shared" si="3"/>
        <v/>
      </c>
    </row>
    <row r="102">
      <c r="A102" s="2"/>
      <c r="B102" s="7"/>
      <c r="D102" s="5" t="str">
        <f>IF(A102 = "", "", COUNTIFS('Game Record'!G:G, A102, 'Game Record'!E:E, C102))</f>
        <v/>
      </c>
      <c r="E102" s="6" t="str">
        <f>IF(A102 = "", "", COUNTIFS('Game Record'!H:H, A102, 'Game Record'!E:E, C102))</f>
        <v/>
      </c>
      <c r="F102" s="2">
        <f t="shared" si="1"/>
        <v>0</v>
      </c>
      <c r="G102" s="1" t="str">
        <f>IF(A102 = "", "", COUNTIF('Game Record'!G:G, A102))</f>
        <v/>
      </c>
      <c r="H102" s="6" t="str">
        <f>IF(A102 = "", "", COUNTIF('Game Record'!H:H, A102))</f>
        <v/>
      </c>
      <c r="I102" s="2">
        <f>IFERROR(__xludf.DUMMYFUNCTION("SUM(FILTER(TeamARecordSet, INDEX(TeamARecordSet, 0, 1) = A102)) + SUM(FILTER(TeamBRecordSet, INDEX(TeamBRecordSet, 0, 1) = A102))"),0.0)</f>
        <v>0</v>
      </c>
      <c r="J102" s="2">
        <f t="shared" si="2"/>
        <v>0</v>
      </c>
      <c r="K102" s="2" t="str">
        <f t="shared" si="3"/>
        <v/>
      </c>
    </row>
    <row r="103">
      <c r="A103" s="2"/>
      <c r="B103" s="7"/>
      <c r="D103" s="5" t="str">
        <f>IF(A103 = "", "", COUNTIFS('Game Record'!G:G, A103, 'Game Record'!E:E, C103))</f>
        <v/>
      </c>
      <c r="E103" s="6" t="str">
        <f>IF(A103 = "", "", COUNTIFS('Game Record'!H:H, A103, 'Game Record'!E:E, C103))</f>
        <v/>
      </c>
      <c r="F103" s="2">
        <f t="shared" si="1"/>
        <v>0</v>
      </c>
      <c r="G103" s="1" t="str">
        <f>IF(A103 = "", "", COUNTIF('Game Record'!G:G, A103))</f>
        <v/>
      </c>
      <c r="H103" s="6" t="str">
        <f>IF(A103 = "", "", COUNTIF('Game Record'!H:H, A103))</f>
        <v/>
      </c>
      <c r="I103" s="2">
        <f>IFERROR(__xludf.DUMMYFUNCTION("SUM(FILTER(TeamARecordSet, INDEX(TeamARecordSet, 0, 1) = A103)) + SUM(FILTER(TeamBRecordSet, INDEX(TeamBRecordSet, 0, 1) = A103))"),0.0)</f>
        <v>0</v>
      </c>
      <c r="J103" s="2">
        <f t="shared" si="2"/>
        <v>0</v>
      </c>
      <c r="K103" s="2" t="str">
        <f t="shared" si="3"/>
        <v/>
      </c>
    </row>
    <row r="104">
      <c r="A104" s="2"/>
      <c r="B104" s="7"/>
      <c r="D104" s="5" t="str">
        <f>IF(A104 = "", "", COUNTIFS('Game Record'!G:G, A104, 'Game Record'!E:E, C104))</f>
        <v/>
      </c>
      <c r="E104" s="6" t="str">
        <f>IF(A104 = "", "", COUNTIFS('Game Record'!H:H, A104, 'Game Record'!E:E, C104))</f>
        <v/>
      </c>
      <c r="F104" s="2">
        <f t="shared" si="1"/>
        <v>0</v>
      </c>
      <c r="G104" s="1" t="str">
        <f>IF(A104 = "", "", COUNTIF('Game Record'!G:G, A104))</f>
        <v/>
      </c>
      <c r="H104" s="6" t="str">
        <f>IF(A104 = "", "", COUNTIF('Game Record'!H:H, A104))</f>
        <v/>
      </c>
      <c r="I104" s="2">
        <f>IFERROR(__xludf.DUMMYFUNCTION("SUM(FILTER(TeamARecordSet, INDEX(TeamARecordSet, 0, 1) = A104)) + SUM(FILTER(TeamBRecordSet, INDEX(TeamBRecordSet, 0, 1) = A104))"),0.0)</f>
        <v>0</v>
      </c>
      <c r="J104" s="2">
        <f t="shared" si="2"/>
        <v>0</v>
      </c>
      <c r="K104" s="2" t="str">
        <f t="shared" si="3"/>
        <v/>
      </c>
    </row>
    <row r="105">
      <c r="A105" s="2"/>
      <c r="B105" s="7"/>
      <c r="D105" s="5" t="str">
        <f>IF(A105 = "", "", COUNTIFS('Game Record'!G:G, A105, 'Game Record'!E:E, C105))</f>
        <v/>
      </c>
      <c r="E105" s="6" t="str">
        <f>IF(A105 = "", "", COUNTIFS('Game Record'!H:H, A105, 'Game Record'!E:E, C105))</f>
        <v/>
      </c>
      <c r="F105" s="2">
        <f t="shared" si="1"/>
        <v>0</v>
      </c>
      <c r="G105" s="1" t="str">
        <f>IF(A105 = "", "", COUNTIF('Game Record'!G:G, A105))</f>
        <v/>
      </c>
      <c r="H105" s="6" t="str">
        <f>IF(A105 = "", "", COUNTIF('Game Record'!H:H, A105))</f>
        <v/>
      </c>
      <c r="I105" s="2">
        <f>IFERROR(__xludf.DUMMYFUNCTION("SUM(FILTER(TeamARecordSet, INDEX(TeamARecordSet, 0, 1) = A105)) + SUM(FILTER(TeamBRecordSet, INDEX(TeamBRecordSet, 0, 1) = A105))"),0.0)</f>
        <v>0</v>
      </c>
      <c r="J105" s="2">
        <f t="shared" si="2"/>
        <v>0</v>
      </c>
      <c r="K105" s="2" t="str">
        <f t="shared" si="3"/>
        <v/>
      </c>
    </row>
    <row r="106">
      <c r="A106" s="2"/>
      <c r="B106" s="7"/>
      <c r="D106" s="5" t="str">
        <f>IF(A106 = "", "", COUNTIFS('Game Record'!G:G, A106, 'Game Record'!E:E, C106))</f>
        <v/>
      </c>
      <c r="E106" s="6" t="str">
        <f>IF(A106 = "", "", COUNTIFS('Game Record'!H:H, A106, 'Game Record'!E:E, C106))</f>
        <v/>
      </c>
      <c r="F106" s="2">
        <f t="shared" si="1"/>
        <v>0</v>
      </c>
      <c r="G106" s="1" t="str">
        <f>IF(A106 = "", "", COUNTIF('Game Record'!G:G, A106))</f>
        <v/>
      </c>
      <c r="H106" s="6" t="str">
        <f>IF(A106 = "", "", COUNTIF('Game Record'!H:H, A106))</f>
        <v/>
      </c>
      <c r="I106" s="2">
        <f>IFERROR(__xludf.DUMMYFUNCTION("SUM(FILTER(TeamARecordSet, INDEX(TeamARecordSet, 0, 1) = A106)) + SUM(FILTER(TeamBRecordSet, INDEX(TeamBRecordSet, 0, 1) = A106))"),0.0)</f>
        <v>0</v>
      </c>
      <c r="J106" s="2">
        <f t="shared" si="2"/>
        <v>0</v>
      </c>
      <c r="K106" s="2" t="str">
        <f t="shared" si="3"/>
        <v/>
      </c>
    </row>
    <row r="107">
      <c r="A107" s="2"/>
      <c r="B107" s="7"/>
      <c r="D107" s="5" t="str">
        <f>IF(A107 = "", "", COUNTIFS('Game Record'!G:G, A107, 'Game Record'!E:E, C107))</f>
        <v/>
      </c>
      <c r="E107" s="6" t="str">
        <f>IF(A107 = "", "", COUNTIFS('Game Record'!H:H, A107, 'Game Record'!E:E, C107))</f>
        <v/>
      </c>
      <c r="F107" s="2">
        <f t="shared" si="1"/>
        <v>0</v>
      </c>
      <c r="G107" s="1" t="str">
        <f>IF(A107 = "", "", COUNTIF('Game Record'!G:G, A107))</f>
        <v/>
      </c>
      <c r="H107" s="6" t="str">
        <f>IF(A107 = "", "", COUNTIF('Game Record'!H:H, A107))</f>
        <v/>
      </c>
      <c r="I107" s="2">
        <f>IFERROR(__xludf.DUMMYFUNCTION("SUM(FILTER(TeamARecordSet, INDEX(TeamARecordSet, 0, 1) = A107)) + SUM(FILTER(TeamBRecordSet, INDEX(TeamBRecordSet, 0, 1) = A107))"),0.0)</f>
        <v>0</v>
      </c>
      <c r="J107" s="2">
        <f t="shared" si="2"/>
        <v>0</v>
      </c>
      <c r="K107" s="2" t="str">
        <f t="shared" si="3"/>
        <v/>
      </c>
    </row>
    <row r="108">
      <c r="A108" s="2"/>
      <c r="B108" s="7"/>
      <c r="D108" s="5" t="str">
        <f>IF(A108 = "", "", COUNTIFS('Game Record'!G:G, A108, 'Game Record'!E:E, C108))</f>
        <v/>
      </c>
      <c r="E108" s="6" t="str">
        <f>IF(A108 = "", "", COUNTIFS('Game Record'!H:H, A108, 'Game Record'!E:E, C108))</f>
        <v/>
      </c>
      <c r="F108" s="2">
        <f t="shared" si="1"/>
        <v>0</v>
      </c>
      <c r="G108" s="1" t="str">
        <f>IF(A108 = "", "", COUNTIF('Game Record'!G:G, A108))</f>
        <v/>
      </c>
      <c r="H108" s="6" t="str">
        <f>IF(A108 = "", "", COUNTIF('Game Record'!H:H, A108))</f>
        <v/>
      </c>
      <c r="I108" s="2">
        <f>IFERROR(__xludf.DUMMYFUNCTION("SUM(FILTER(TeamARecordSet, INDEX(TeamARecordSet, 0, 1) = A108)) + SUM(FILTER(TeamBRecordSet, INDEX(TeamBRecordSet, 0, 1) = A108))"),0.0)</f>
        <v>0</v>
      </c>
      <c r="J108" s="2">
        <f t="shared" si="2"/>
        <v>0</v>
      </c>
      <c r="K108" s="2" t="str">
        <f t="shared" si="3"/>
        <v/>
      </c>
    </row>
    <row r="109">
      <c r="A109" s="2"/>
      <c r="B109" s="7"/>
      <c r="D109" s="5" t="str">
        <f>IF(A109 = "", "", COUNTIFS('Game Record'!G:G, A109, 'Game Record'!E:E, C109))</f>
        <v/>
      </c>
      <c r="E109" s="6" t="str">
        <f>IF(A109 = "", "", COUNTIFS('Game Record'!H:H, A109, 'Game Record'!E:E, C109))</f>
        <v/>
      </c>
      <c r="F109" s="2">
        <f t="shared" si="1"/>
        <v>0</v>
      </c>
      <c r="G109" s="1" t="str">
        <f>IF(A109 = "", "", COUNTIF('Game Record'!G:G, A109))</f>
        <v/>
      </c>
      <c r="H109" s="6" t="str">
        <f>IF(A109 = "", "", COUNTIF('Game Record'!H:H, A109))</f>
        <v/>
      </c>
      <c r="I109" s="2">
        <f>IFERROR(__xludf.DUMMYFUNCTION("SUM(FILTER(TeamARecordSet, INDEX(TeamARecordSet, 0, 1) = A109)) + SUM(FILTER(TeamBRecordSet, INDEX(TeamBRecordSet, 0, 1) = A109))"),0.0)</f>
        <v>0</v>
      </c>
      <c r="J109" s="2">
        <f t="shared" si="2"/>
        <v>0</v>
      </c>
      <c r="K109" s="2" t="str">
        <f t="shared" si="3"/>
        <v/>
      </c>
    </row>
    <row r="110">
      <c r="A110" s="2"/>
      <c r="B110" s="7"/>
      <c r="D110" s="5" t="str">
        <f>IF(A110 = "", "", COUNTIFS('Game Record'!G:G, A110, 'Game Record'!E:E, C110))</f>
        <v/>
      </c>
      <c r="E110" s="6" t="str">
        <f>IF(A110 = "", "", COUNTIFS('Game Record'!H:H, A110, 'Game Record'!E:E, C110))</f>
        <v/>
      </c>
      <c r="F110" s="2">
        <f t="shared" si="1"/>
        <v>0</v>
      </c>
      <c r="G110" s="1" t="str">
        <f>IF(A110 = "", "", COUNTIF('Game Record'!G:G, A110))</f>
        <v/>
      </c>
      <c r="H110" s="6" t="str">
        <f>IF(A110 = "", "", COUNTIF('Game Record'!H:H, A110))</f>
        <v/>
      </c>
      <c r="I110" s="2">
        <f>IFERROR(__xludf.DUMMYFUNCTION("SUM(FILTER(TeamARecordSet, INDEX(TeamARecordSet, 0, 1) = A110)) + SUM(FILTER(TeamBRecordSet, INDEX(TeamBRecordSet, 0, 1) = A110))"),0.0)</f>
        <v>0</v>
      </c>
      <c r="J110" s="2">
        <f t="shared" si="2"/>
        <v>0</v>
      </c>
      <c r="K110" s="2" t="str">
        <f t="shared" si="3"/>
        <v/>
      </c>
    </row>
    <row r="111">
      <c r="A111" s="2"/>
      <c r="B111" s="7"/>
      <c r="D111" s="5" t="str">
        <f>IF(A111 = "", "", COUNTIFS('Game Record'!G:G, A111, 'Game Record'!E:E, C111))</f>
        <v/>
      </c>
      <c r="E111" s="6" t="str">
        <f>IF(A111 = "", "", COUNTIFS('Game Record'!H:H, A111, 'Game Record'!E:E, C111))</f>
        <v/>
      </c>
      <c r="F111" s="2">
        <f t="shared" si="1"/>
        <v>0</v>
      </c>
      <c r="G111" s="1" t="str">
        <f>IF(A111 = "", "", COUNTIF('Game Record'!G:G, A111))</f>
        <v/>
      </c>
      <c r="H111" s="6" t="str">
        <f>IF(A111 = "", "", COUNTIF('Game Record'!H:H, A111))</f>
        <v/>
      </c>
      <c r="I111" s="2">
        <f>IFERROR(__xludf.DUMMYFUNCTION("SUM(FILTER(TeamARecordSet, INDEX(TeamARecordSet, 0, 1) = A111)) + SUM(FILTER(TeamBRecordSet, INDEX(TeamBRecordSet, 0, 1) = A111))"),0.0)</f>
        <v>0</v>
      </c>
      <c r="J111" s="2">
        <f t="shared" si="2"/>
        <v>0</v>
      </c>
      <c r="K111" s="2" t="str">
        <f t="shared" si="3"/>
        <v/>
      </c>
    </row>
    <row r="112">
      <c r="A112" s="2"/>
      <c r="B112" s="7"/>
      <c r="D112" s="5" t="str">
        <f>IF(A112 = "", "", COUNTIFS('Game Record'!G:G, A112, 'Game Record'!E:E, C112))</f>
        <v/>
      </c>
      <c r="E112" s="6" t="str">
        <f>IF(A112 = "", "", COUNTIFS('Game Record'!H:H, A112, 'Game Record'!E:E, C112))</f>
        <v/>
      </c>
      <c r="F112" s="2">
        <f t="shared" si="1"/>
        <v>0</v>
      </c>
      <c r="G112" s="1" t="str">
        <f>IF(A112 = "", "", COUNTIF('Game Record'!G:G, A112))</f>
        <v/>
      </c>
      <c r="H112" s="6" t="str">
        <f>IF(A112 = "", "", COUNTIF('Game Record'!H:H, A112))</f>
        <v/>
      </c>
      <c r="I112" s="2">
        <f>IFERROR(__xludf.DUMMYFUNCTION("SUM(FILTER(TeamARecordSet, INDEX(TeamARecordSet, 0, 1) = A112)) + SUM(FILTER(TeamBRecordSet, INDEX(TeamBRecordSet, 0, 1) = A112))"),0.0)</f>
        <v>0</v>
      </c>
      <c r="J112" s="2">
        <f t="shared" si="2"/>
        <v>0</v>
      </c>
      <c r="K112" s="2" t="str">
        <f t="shared" si="3"/>
        <v/>
      </c>
    </row>
    <row r="113">
      <c r="A113" s="2"/>
      <c r="B113" s="7"/>
      <c r="D113" s="5" t="str">
        <f>IF(A113 = "", "", COUNTIFS('Game Record'!G:G, A113, 'Game Record'!E:E, C113))</f>
        <v/>
      </c>
      <c r="E113" s="6" t="str">
        <f>IF(A113 = "", "", COUNTIFS('Game Record'!H:H, A113, 'Game Record'!E:E, C113))</f>
        <v/>
      </c>
      <c r="F113" s="2">
        <f t="shared" si="1"/>
        <v>0</v>
      </c>
      <c r="G113" s="1" t="str">
        <f>IF(A113 = "", "", COUNTIF('Game Record'!G:G, A113))</f>
        <v/>
      </c>
      <c r="H113" s="6" t="str">
        <f>IF(A113 = "", "", COUNTIF('Game Record'!H:H, A113))</f>
        <v/>
      </c>
      <c r="I113" s="2">
        <f>IFERROR(__xludf.DUMMYFUNCTION("SUM(FILTER(TeamARecordSet, INDEX(TeamARecordSet, 0, 1) = A113)) + SUM(FILTER(TeamBRecordSet, INDEX(TeamBRecordSet, 0, 1) = A113))"),0.0)</f>
        <v>0</v>
      </c>
      <c r="J113" s="2">
        <f t="shared" si="2"/>
        <v>0</v>
      </c>
      <c r="K113" s="2" t="str">
        <f t="shared" si="3"/>
        <v/>
      </c>
    </row>
    <row r="114">
      <c r="A114" s="2"/>
      <c r="B114" s="7"/>
      <c r="D114" s="5" t="str">
        <f>IF(A114 = "", "", COUNTIFS('Game Record'!G:G, A114, 'Game Record'!E:E, C114))</f>
        <v/>
      </c>
      <c r="E114" s="6" t="str">
        <f>IF(A114 = "", "", COUNTIFS('Game Record'!H:H, A114, 'Game Record'!E:E, C114))</f>
        <v/>
      </c>
      <c r="F114" s="2">
        <f t="shared" si="1"/>
        <v>0</v>
      </c>
      <c r="G114" s="1" t="str">
        <f>IF(A114 = "", "", COUNTIF('Game Record'!G:G, A114))</f>
        <v/>
      </c>
      <c r="H114" s="6" t="str">
        <f>IF(A114 = "", "", COUNTIF('Game Record'!H:H, A114))</f>
        <v/>
      </c>
      <c r="I114" s="2">
        <f>IFERROR(__xludf.DUMMYFUNCTION("SUM(FILTER(TeamARecordSet, INDEX(TeamARecordSet, 0, 1) = A114)) + SUM(FILTER(TeamBRecordSet, INDEX(TeamBRecordSet, 0, 1) = A114))"),0.0)</f>
        <v>0</v>
      </c>
      <c r="J114" s="2">
        <f t="shared" si="2"/>
        <v>0</v>
      </c>
      <c r="K114" s="2" t="str">
        <f t="shared" si="3"/>
        <v/>
      </c>
    </row>
    <row r="115">
      <c r="A115" s="2"/>
      <c r="B115" s="7"/>
      <c r="D115" s="5" t="str">
        <f>IF(A115 = "", "", COUNTIFS('Game Record'!G:G, A115, 'Game Record'!E:E, C115))</f>
        <v/>
      </c>
      <c r="E115" s="6" t="str">
        <f>IF(A115 = "", "", COUNTIFS('Game Record'!H:H, A115, 'Game Record'!E:E, C115))</f>
        <v/>
      </c>
      <c r="F115" s="2">
        <f t="shared" si="1"/>
        <v>0</v>
      </c>
      <c r="G115" s="1" t="str">
        <f>IF(A115 = "", "", COUNTIF('Game Record'!G:G, A115))</f>
        <v/>
      </c>
      <c r="H115" s="6" t="str">
        <f>IF(A115 = "", "", COUNTIF('Game Record'!H:H, A115))</f>
        <v/>
      </c>
      <c r="I115" s="2">
        <f>IFERROR(__xludf.DUMMYFUNCTION("SUM(FILTER(TeamARecordSet, INDEX(TeamARecordSet, 0, 1) = A115)) + SUM(FILTER(TeamBRecordSet, INDEX(TeamBRecordSet, 0, 1) = A115))"),0.0)</f>
        <v>0</v>
      </c>
      <c r="J115" s="2">
        <f t="shared" si="2"/>
        <v>0</v>
      </c>
      <c r="K115" s="2" t="str">
        <f t="shared" si="3"/>
        <v/>
      </c>
    </row>
    <row r="116">
      <c r="A116" s="2"/>
      <c r="B116" s="7"/>
      <c r="D116" s="5" t="str">
        <f>IF(A116 = "", "", COUNTIFS('Game Record'!G:G, A116, 'Game Record'!E:E, C116))</f>
        <v/>
      </c>
      <c r="E116" s="6" t="str">
        <f>IF(A116 = "", "", COUNTIFS('Game Record'!H:H, A116, 'Game Record'!E:E, C116))</f>
        <v/>
      </c>
      <c r="F116" s="2">
        <f t="shared" si="1"/>
        <v>0</v>
      </c>
      <c r="G116" s="1" t="str">
        <f>IF(A116 = "", "", COUNTIF('Game Record'!G:G, A116))</f>
        <v/>
      </c>
      <c r="H116" s="6" t="str">
        <f>IF(A116 = "", "", COUNTIF('Game Record'!H:H, A116))</f>
        <v/>
      </c>
      <c r="I116" s="2">
        <f>IFERROR(__xludf.DUMMYFUNCTION("SUM(FILTER(TeamARecordSet, INDEX(TeamARecordSet, 0, 1) = A116)) + SUM(FILTER(TeamBRecordSet, INDEX(TeamBRecordSet, 0, 1) = A116))"),0.0)</f>
        <v>0</v>
      </c>
      <c r="J116" s="2">
        <f t="shared" si="2"/>
        <v>0</v>
      </c>
      <c r="K116" s="2" t="str">
        <f t="shared" si="3"/>
        <v/>
      </c>
    </row>
    <row r="117">
      <c r="A117" s="2"/>
      <c r="B117" s="7"/>
      <c r="D117" s="5" t="str">
        <f>IF(A117 = "", "", COUNTIFS('Game Record'!G:G, A117, 'Game Record'!E:E, C117))</f>
        <v/>
      </c>
      <c r="E117" s="6" t="str">
        <f>IF(A117 = "", "", COUNTIFS('Game Record'!H:H, A117, 'Game Record'!E:E, C117))</f>
        <v/>
      </c>
      <c r="F117" s="2">
        <f t="shared" si="1"/>
        <v>0</v>
      </c>
      <c r="G117" s="1" t="str">
        <f>IF(A117 = "", "", COUNTIF('Game Record'!G:G, A117))</f>
        <v/>
      </c>
      <c r="H117" s="6" t="str">
        <f>IF(A117 = "", "", COUNTIF('Game Record'!H:H, A117))</f>
        <v/>
      </c>
      <c r="I117" s="2">
        <f>IFERROR(__xludf.DUMMYFUNCTION("SUM(FILTER(TeamARecordSet, INDEX(TeamARecordSet, 0, 1) = A117)) + SUM(FILTER(TeamBRecordSet, INDEX(TeamBRecordSet, 0, 1) = A117))"),0.0)</f>
        <v>0</v>
      </c>
      <c r="J117" s="2">
        <f t="shared" si="2"/>
        <v>0</v>
      </c>
      <c r="K117" s="2" t="str">
        <f t="shared" si="3"/>
        <v/>
      </c>
    </row>
    <row r="118">
      <c r="A118" s="2"/>
      <c r="B118" s="7"/>
      <c r="D118" s="5" t="str">
        <f>IF(A118 = "", "", COUNTIFS('Game Record'!G:G, A118, 'Game Record'!E:E, C118))</f>
        <v/>
      </c>
      <c r="E118" s="6" t="str">
        <f>IF(A118 = "", "", COUNTIFS('Game Record'!H:H, A118, 'Game Record'!E:E, C118))</f>
        <v/>
      </c>
      <c r="F118" s="2">
        <f t="shared" si="1"/>
        <v>0</v>
      </c>
      <c r="G118" s="1" t="str">
        <f>IF(A118 = "", "", COUNTIF('Game Record'!G:G, A118))</f>
        <v/>
      </c>
      <c r="H118" s="6" t="str">
        <f>IF(A118 = "", "", COUNTIF('Game Record'!H:H, A118))</f>
        <v/>
      </c>
      <c r="I118" s="2">
        <f>IFERROR(__xludf.DUMMYFUNCTION("SUM(FILTER(TeamARecordSet, INDEX(TeamARecordSet, 0, 1) = A118)) + SUM(FILTER(TeamBRecordSet, INDEX(TeamBRecordSet, 0, 1) = A118))"),0.0)</f>
        <v>0</v>
      </c>
      <c r="J118" s="2">
        <f t="shared" si="2"/>
        <v>0</v>
      </c>
      <c r="K118" s="2" t="str">
        <f t="shared" si="3"/>
        <v/>
      </c>
    </row>
    <row r="119">
      <c r="A119" s="2"/>
      <c r="B119" s="7"/>
      <c r="D119" s="5" t="str">
        <f>IF(A119 = "", "", COUNTIFS('Game Record'!G:G, A119, 'Game Record'!E:E, C119))</f>
        <v/>
      </c>
      <c r="E119" s="6" t="str">
        <f>IF(A119 = "", "", COUNTIFS('Game Record'!H:H, A119, 'Game Record'!E:E, C119))</f>
        <v/>
      </c>
      <c r="F119" s="2">
        <f t="shared" si="1"/>
        <v>0</v>
      </c>
      <c r="G119" s="1" t="str">
        <f>IF(A119 = "", "", COUNTIF('Game Record'!G:G, A119))</f>
        <v/>
      </c>
      <c r="H119" s="6" t="str">
        <f>IF(A119 = "", "", COUNTIF('Game Record'!H:H, A119))</f>
        <v/>
      </c>
      <c r="I119" s="2">
        <f>IFERROR(__xludf.DUMMYFUNCTION("SUM(FILTER(TeamARecordSet, INDEX(TeamARecordSet, 0, 1) = A119)) + SUM(FILTER(TeamBRecordSet, INDEX(TeamBRecordSet, 0, 1) = A119))"),0.0)</f>
        <v>0</v>
      </c>
      <c r="J119" s="2">
        <f t="shared" si="2"/>
        <v>0</v>
      </c>
      <c r="K119" s="2" t="str">
        <f t="shared" si="3"/>
        <v/>
      </c>
    </row>
    <row r="120">
      <c r="A120" s="2"/>
      <c r="B120" s="7"/>
      <c r="D120" s="5" t="str">
        <f>IF(A120 = "", "", COUNTIFS('Game Record'!G:G, A120, 'Game Record'!E:E, C120))</f>
        <v/>
      </c>
      <c r="E120" s="6" t="str">
        <f>IF(A120 = "", "", COUNTIFS('Game Record'!H:H, A120, 'Game Record'!E:E, C120))</f>
        <v/>
      </c>
      <c r="F120" s="2">
        <f t="shared" si="1"/>
        <v>0</v>
      </c>
      <c r="G120" s="1" t="str">
        <f>IF(A120 = "", "", COUNTIF('Game Record'!G:G, A120))</f>
        <v/>
      </c>
      <c r="H120" s="6" t="str">
        <f>IF(A120 = "", "", COUNTIF('Game Record'!H:H, A120))</f>
        <v/>
      </c>
      <c r="I120" s="2">
        <f>IFERROR(__xludf.DUMMYFUNCTION("SUM(FILTER(TeamARecordSet, INDEX(TeamARecordSet, 0, 1) = A120)) + SUM(FILTER(TeamBRecordSet, INDEX(TeamBRecordSet, 0, 1) = A120))"),0.0)</f>
        <v>0</v>
      </c>
      <c r="J120" s="2">
        <f t="shared" si="2"/>
        <v>0</v>
      </c>
      <c r="K120" s="2" t="str">
        <f t="shared" si="3"/>
        <v/>
      </c>
    </row>
    <row r="121">
      <c r="A121" s="2"/>
      <c r="B121" s="7"/>
      <c r="D121" s="5" t="str">
        <f>IF(A121 = "", "", COUNTIFS('Game Record'!G:G, A121, 'Game Record'!E:E, C121))</f>
        <v/>
      </c>
      <c r="E121" s="6" t="str">
        <f>IF(A121 = "", "", COUNTIFS('Game Record'!H:H, A121, 'Game Record'!E:E, C121))</f>
        <v/>
      </c>
      <c r="F121" s="2">
        <f t="shared" si="1"/>
        <v>0</v>
      </c>
      <c r="G121" s="1" t="str">
        <f>IF(A121 = "", "", COUNTIF('Game Record'!G:G, A121))</f>
        <v/>
      </c>
      <c r="H121" s="6" t="str">
        <f>IF(A121 = "", "", COUNTIF('Game Record'!H:H, A121))</f>
        <v/>
      </c>
      <c r="I121" s="2">
        <f>IFERROR(__xludf.DUMMYFUNCTION("SUM(FILTER(TeamARecordSet, INDEX(TeamARecordSet, 0, 1) = A121)) + SUM(FILTER(TeamBRecordSet, INDEX(TeamBRecordSet, 0, 1) = A121))"),0.0)</f>
        <v>0</v>
      </c>
      <c r="J121" s="2">
        <f t="shared" si="2"/>
        <v>0</v>
      </c>
      <c r="K121" s="2" t="str">
        <f t="shared" si="3"/>
        <v/>
      </c>
    </row>
    <row r="122">
      <c r="A122" s="2"/>
      <c r="B122" s="7"/>
      <c r="D122" s="5" t="str">
        <f>IF(A122 = "", "", COUNTIFS('Game Record'!G:G, A122, 'Game Record'!E:E, C122))</f>
        <v/>
      </c>
      <c r="E122" s="6" t="str">
        <f>IF(A122 = "", "", COUNTIFS('Game Record'!H:H, A122, 'Game Record'!E:E, C122))</f>
        <v/>
      </c>
      <c r="F122" s="2">
        <f t="shared" si="1"/>
        <v>0</v>
      </c>
      <c r="G122" s="1" t="str">
        <f>IF(A122 = "", "", COUNTIF('Game Record'!G:G, A122))</f>
        <v/>
      </c>
      <c r="H122" s="6" t="str">
        <f>IF(A122 = "", "", COUNTIF('Game Record'!H:H, A122))</f>
        <v/>
      </c>
      <c r="I122" s="2">
        <f>IFERROR(__xludf.DUMMYFUNCTION("SUM(FILTER(TeamARecordSet, INDEX(TeamARecordSet, 0, 1) = A122)) + SUM(FILTER(TeamBRecordSet, INDEX(TeamBRecordSet, 0, 1) = A122))"),0.0)</f>
        <v>0</v>
      </c>
      <c r="J122" s="2">
        <f t="shared" si="2"/>
        <v>0</v>
      </c>
      <c r="K122" s="2" t="str">
        <f t="shared" si="3"/>
        <v/>
      </c>
    </row>
    <row r="123">
      <c r="A123" s="2"/>
      <c r="B123" s="7"/>
      <c r="D123" s="5" t="str">
        <f>IF(A123 = "", "", COUNTIFS('Game Record'!G:G, A123, 'Game Record'!E:E, C123))</f>
        <v/>
      </c>
      <c r="E123" s="6" t="str">
        <f>IF(A123 = "", "", COUNTIFS('Game Record'!H:H, A123, 'Game Record'!E:E, C123))</f>
        <v/>
      </c>
      <c r="F123" s="2">
        <f t="shared" si="1"/>
        <v>0</v>
      </c>
      <c r="G123" s="1" t="str">
        <f>IF(A123 = "", "", COUNTIF('Game Record'!G:G, A123))</f>
        <v/>
      </c>
      <c r="H123" s="6" t="str">
        <f>IF(A123 = "", "", COUNTIF('Game Record'!H:H, A123))</f>
        <v/>
      </c>
      <c r="I123" s="2">
        <f>IFERROR(__xludf.DUMMYFUNCTION("SUM(FILTER(TeamARecordSet, INDEX(TeamARecordSet, 0, 1) = A123)) + SUM(FILTER(TeamBRecordSet, INDEX(TeamBRecordSet, 0, 1) = A123))"),0.0)</f>
        <v>0</v>
      </c>
      <c r="J123" s="2">
        <f t="shared" si="2"/>
        <v>0</v>
      </c>
      <c r="K123" s="2" t="str">
        <f t="shared" si="3"/>
        <v/>
      </c>
    </row>
    <row r="124">
      <c r="A124" s="2"/>
      <c r="B124" s="7"/>
      <c r="D124" s="5" t="str">
        <f>IF(A124 = "", "", COUNTIFS('Game Record'!G:G, A124, 'Game Record'!E:E, C124))</f>
        <v/>
      </c>
      <c r="E124" s="6" t="str">
        <f>IF(A124 = "", "", COUNTIFS('Game Record'!H:H, A124, 'Game Record'!E:E, C124))</f>
        <v/>
      </c>
      <c r="F124" s="2">
        <f t="shared" si="1"/>
        <v>0</v>
      </c>
      <c r="G124" s="1" t="str">
        <f>IF(A124 = "", "", COUNTIF('Game Record'!G:G, A124))</f>
        <v/>
      </c>
      <c r="H124" s="6" t="str">
        <f>IF(A124 = "", "", COUNTIF('Game Record'!H:H, A124))</f>
        <v/>
      </c>
      <c r="I124" s="2">
        <f>IFERROR(__xludf.DUMMYFUNCTION("SUM(FILTER(TeamARecordSet, INDEX(TeamARecordSet, 0, 1) = A124)) + SUM(FILTER(TeamBRecordSet, INDEX(TeamBRecordSet, 0, 1) = A124))"),0.0)</f>
        <v>0</v>
      </c>
      <c r="J124" s="2">
        <f t="shared" si="2"/>
        <v>0</v>
      </c>
      <c r="K124" s="2" t="str">
        <f t="shared" si="3"/>
        <v/>
      </c>
    </row>
    <row r="125">
      <c r="A125" s="2"/>
      <c r="B125" s="7"/>
      <c r="D125" s="5" t="str">
        <f>IF(A125 = "", "", COUNTIFS('Game Record'!G:G, A125, 'Game Record'!E:E, C125))</f>
        <v/>
      </c>
      <c r="E125" s="6" t="str">
        <f>IF(A125 = "", "", COUNTIFS('Game Record'!H:H, A125, 'Game Record'!E:E, C125))</f>
        <v/>
      </c>
      <c r="F125" s="2">
        <f t="shared" si="1"/>
        <v>0</v>
      </c>
      <c r="G125" s="1" t="str">
        <f>IF(A125 = "", "", COUNTIF('Game Record'!G:G, A125))</f>
        <v/>
      </c>
      <c r="H125" s="6" t="str">
        <f>IF(A125 = "", "", COUNTIF('Game Record'!H:H, A125))</f>
        <v/>
      </c>
      <c r="I125" s="2">
        <f>IFERROR(__xludf.DUMMYFUNCTION("SUM(FILTER(TeamARecordSet, INDEX(TeamARecordSet, 0, 1) = A125)) + SUM(FILTER(TeamBRecordSet, INDEX(TeamBRecordSet, 0, 1) = A125))"),0.0)</f>
        <v>0</v>
      </c>
      <c r="J125" s="2">
        <f t="shared" si="2"/>
        <v>0</v>
      </c>
      <c r="K125" s="2" t="str">
        <f t="shared" si="3"/>
        <v/>
      </c>
    </row>
    <row r="126">
      <c r="A126" s="2"/>
      <c r="B126" s="7"/>
      <c r="D126" s="5" t="str">
        <f>IF(A126 = "", "", COUNTIFS('Game Record'!G:G, A126, 'Game Record'!E:E, C126))</f>
        <v/>
      </c>
      <c r="E126" s="6" t="str">
        <f>IF(A126 = "", "", COUNTIFS('Game Record'!H:H, A126, 'Game Record'!E:E, C126))</f>
        <v/>
      </c>
      <c r="F126" s="2">
        <f t="shared" si="1"/>
        <v>0</v>
      </c>
      <c r="G126" s="1" t="str">
        <f>IF(A126 = "", "", COUNTIF('Game Record'!G:G, A126))</f>
        <v/>
      </c>
      <c r="H126" s="6" t="str">
        <f>IF(A126 = "", "", COUNTIF('Game Record'!H:H, A126))</f>
        <v/>
      </c>
      <c r="I126" s="2">
        <f>IFERROR(__xludf.DUMMYFUNCTION("SUM(FILTER(TeamARecordSet, INDEX(TeamARecordSet, 0, 1) = A126)) + SUM(FILTER(TeamBRecordSet, INDEX(TeamBRecordSet, 0, 1) = A126))"),0.0)</f>
        <v>0</v>
      </c>
      <c r="J126" s="2">
        <f t="shared" si="2"/>
        <v>0</v>
      </c>
      <c r="K126" s="2" t="str">
        <f t="shared" si="3"/>
        <v/>
      </c>
    </row>
    <row r="127">
      <c r="A127" s="2"/>
      <c r="B127" s="7"/>
      <c r="D127" s="5" t="str">
        <f>IF(A127 = "", "", COUNTIFS('Game Record'!G:G, A127, 'Game Record'!E:E, C127))</f>
        <v/>
      </c>
      <c r="E127" s="6" t="str">
        <f>IF(A127 = "", "", COUNTIFS('Game Record'!H:H, A127, 'Game Record'!E:E, C127))</f>
        <v/>
      </c>
      <c r="F127" s="2">
        <f t="shared" si="1"/>
        <v>0</v>
      </c>
      <c r="G127" s="1" t="str">
        <f>IF(A127 = "", "", COUNTIF('Game Record'!G:G, A127))</f>
        <v/>
      </c>
      <c r="H127" s="6" t="str">
        <f>IF(A127 = "", "", COUNTIF('Game Record'!H:H, A127))</f>
        <v/>
      </c>
      <c r="I127" s="2">
        <f>IFERROR(__xludf.DUMMYFUNCTION("SUM(FILTER(TeamARecordSet, INDEX(TeamARecordSet, 0, 1) = A127)) + SUM(FILTER(TeamBRecordSet, INDEX(TeamBRecordSet, 0, 1) = A127))"),0.0)</f>
        <v>0</v>
      </c>
      <c r="J127" s="2">
        <f t="shared" si="2"/>
        <v>0</v>
      </c>
      <c r="K127" s="2" t="str">
        <f t="shared" si="3"/>
        <v/>
      </c>
    </row>
    <row r="128">
      <c r="A128" s="2"/>
      <c r="B128" s="7"/>
      <c r="D128" s="5" t="str">
        <f>IF(A128 = "", "", COUNTIFS('Game Record'!G:G, A128, 'Game Record'!E:E, C128))</f>
        <v/>
      </c>
      <c r="E128" s="6" t="str">
        <f>IF(A128 = "", "", COUNTIFS('Game Record'!H:H, A128, 'Game Record'!E:E, C128))</f>
        <v/>
      </c>
      <c r="F128" s="2">
        <f t="shared" si="1"/>
        <v>0</v>
      </c>
      <c r="G128" s="1" t="str">
        <f>IF(A128 = "", "", COUNTIF('Game Record'!G:G, A128))</f>
        <v/>
      </c>
      <c r="H128" s="6" t="str">
        <f>IF(A128 = "", "", COUNTIF('Game Record'!H:H, A128))</f>
        <v/>
      </c>
      <c r="I128" s="2">
        <f>IFERROR(__xludf.DUMMYFUNCTION("SUM(FILTER(TeamARecordSet, INDEX(TeamARecordSet, 0, 1) = A128)) + SUM(FILTER(TeamBRecordSet, INDEX(TeamBRecordSet, 0, 1) = A128))"),0.0)</f>
        <v>0</v>
      </c>
      <c r="J128" s="2">
        <f t="shared" si="2"/>
        <v>0</v>
      </c>
      <c r="K128" s="2" t="str">
        <f t="shared" si="3"/>
        <v/>
      </c>
    </row>
    <row r="129">
      <c r="A129" s="2"/>
      <c r="B129" s="7"/>
      <c r="D129" s="5" t="str">
        <f>IF(A129 = "", "", COUNTIFS('Game Record'!G:G, A129, 'Game Record'!E:E, C129))</f>
        <v/>
      </c>
      <c r="E129" s="6" t="str">
        <f>IF(A129 = "", "", COUNTIFS('Game Record'!H:H, A129, 'Game Record'!E:E, C129))</f>
        <v/>
      </c>
      <c r="F129" s="2">
        <f t="shared" si="1"/>
        <v>0</v>
      </c>
      <c r="G129" s="1" t="str">
        <f>IF(A129 = "", "", COUNTIF('Game Record'!G:G, A129))</f>
        <v/>
      </c>
      <c r="H129" s="6" t="str">
        <f>IF(A129 = "", "", COUNTIF('Game Record'!H:H, A129))</f>
        <v/>
      </c>
      <c r="I129" s="2">
        <f>IFERROR(__xludf.DUMMYFUNCTION("SUM(FILTER(TeamARecordSet, INDEX(TeamARecordSet, 0, 1) = A129)) + SUM(FILTER(TeamBRecordSet, INDEX(TeamBRecordSet, 0, 1) = A129))"),0.0)</f>
        <v>0</v>
      </c>
      <c r="J129" s="2">
        <f t="shared" si="2"/>
        <v>0</v>
      </c>
      <c r="K129" s="2" t="str">
        <f t="shared" si="3"/>
        <v/>
      </c>
    </row>
    <row r="130">
      <c r="A130" s="2"/>
      <c r="B130" s="7"/>
      <c r="D130" s="5" t="str">
        <f>IF(A130 = "", "", COUNTIFS('Game Record'!G:G, A130, 'Game Record'!E:E, C130))</f>
        <v/>
      </c>
      <c r="E130" s="6" t="str">
        <f>IF(A130 = "", "", COUNTIFS('Game Record'!H:H, A130, 'Game Record'!E:E, C130))</f>
        <v/>
      </c>
      <c r="F130" s="2">
        <f t="shared" si="1"/>
        <v>0</v>
      </c>
      <c r="G130" s="1" t="str">
        <f>IF(A130 = "", "", COUNTIF('Game Record'!G:G, A130))</f>
        <v/>
      </c>
      <c r="H130" s="6" t="str">
        <f>IF(A130 = "", "", COUNTIF('Game Record'!H:H, A130))</f>
        <v/>
      </c>
      <c r="I130" s="2">
        <f>IFERROR(__xludf.DUMMYFUNCTION("SUM(FILTER(TeamARecordSet, INDEX(TeamARecordSet, 0, 1) = A130)) + SUM(FILTER(TeamBRecordSet, INDEX(TeamBRecordSet, 0, 1) = A130))"),0.0)</f>
        <v>0</v>
      </c>
      <c r="J130" s="2">
        <f t="shared" si="2"/>
        <v>0</v>
      </c>
      <c r="K130" s="2" t="str">
        <f t="shared" si="3"/>
        <v/>
      </c>
    </row>
    <row r="131">
      <c r="A131" s="2"/>
      <c r="B131" s="7"/>
      <c r="D131" s="5" t="str">
        <f>IF(A131 = "", "", COUNTIFS('Game Record'!G:G, A131, 'Game Record'!E:E, C131))</f>
        <v/>
      </c>
      <c r="E131" s="6" t="str">
        <f>IF(A131 = "", "", COUNTIFS('Game Record'!H:H, A131, 'Game Record'!E:E, C131))</f>
        <v/>
      </c>
      <c r="F131" s="2">
        <f t="shared" si="1"/>
        <v>0</v>
      </c>
      <c r="G131" s="1" t="str">
        <f>IF(A131 = "", "", COUNTIF('Game Record'!G:G, A131))</f>
        <v/>
      </c>
      <c r="H131" s="6" t="str">
        <f>IF(A131 = "", "", COUNTIF('Game Record'!H:H, A131))</f>
        <v/>
      </c>
      <c r="I131" s="2">
        <f>IFERROR(__xludf.DUMMYFUNCTION("SUM(FILTER(TeamARecordSet, INDEX(TeamARecordSet, 0, 1) = A131)) + SUM(FILTER(TeamBRecordSet, INDEX(TeamBRecordSet, 0, 1) = A131))"),0.0)</f>
        <v>0</v>
      </c>
      <c r="J131" s="2">
        <f t="shared" si="2"/>
        <v>0</v>
      </c>
      <c r="K131" s="2" t="str">
        <f t="shared" si="3"/>
        <v/>
      </c>
    </row>
    <row r="132">
      <c r="A132" s="2"/>
      <c r="B132" s="7"/>
      <c r="D132" s="5" t="str">
        <f>IF(A132 = "", "", COUNTIFS('Game Record'!G:G, A132, 'Game Record'!E:E, C132))</f>
        <v/>
      </c>
      <c r="E132" s="6" t="str">
        <f>IF(A132 = "", "", COUNTIFS('Game Record'!H:H, A132, 'Game Record'!E:E, C132))</f>
        <v/>
      </c>
      <c r="F132" s="2">
        <f t="shared" si="1"/>
        <v>0</v>
      </c>
      <c r="G132" s="1" t="str">
        <f>IF(A132 = "", "", COUNTIF('Game Record'!G:G, A132))</f>
        <v/>
      </c>
      <c r="H132" s="6" t="str">
        <f>IF(A132 = "", "", COUNTIF('Game Record'!H:H, A132))</f>
        <v/>
      </c>
      <c r="I132" s="2">
        <f>IFERROR(__xludf.DUMMYFUNCTION("SUM(FILTER(TeamARecordSet, INDEX(TeamARecordSet, 0, 1) = A132)) + SUM(FILTER(TeamBRecordSet, INDEX(TeamBRecordSet, 0, 1) = A132))"),0.0)</f>
        <v>0</v>
      </c>
      <c r="J132" s="2">
        <f t="shared" si="2"/>
        <v>0</v>
      </c>
      <c r="K132" s="2" t="str">
        <f t="shared" si="3"/>
        <v/>
      </c>
    </row>
    <row r="133">
      <c r="A133" s="2"/>
      <c r="B133" s="7"/>
      <c r="D133" s="5" t="str">
        <f>IF(A133 = "", "", COUNTIFS('Game Record'!G:G, A133, 'Game Record'!E:E, C133))</f>
        <v/>
      </c>
      <c r="E133" s="6" t="str">
        <f>IF(A133 = "", "", COUNTIFS('Game Record'!H:H, A133, 'Game Record'!E:E, C133))</f>
        <v/>
      </c>
      <c r="F133" s="2">
        <f t="shared" si="1"/>
        <v>0</v>
      </c>
      <c r="G133" s="1" t="str">
        <f>IF(A133 = "", "", COUNTIF('Game Record'!G:G, A133))</f>
        <v/>
      </c>
      <c r="H133" s="6" t="str">
        <f>IF(A133 = "", "", COUNTIF('Game Record'!H:H, A133))</f>
        <v/>
      </c>
      <c r="I133" s="2">
        <f>IFERROR(__xludf.DUMMYFUNCTION("SUM(FILTER(TeamARecordSet, INDEX(TeamARecordSet, 0, 1) = A133)) + SUM(FILTER(TeamBRecordSet, INDEX(TeamBRecordSet, 0, 1) = A133))"),0.0)</f>
        <v>0</v>
      </c>
      <c r="J133" s="2">
        <f t="shared" si="2"/>
        <v>0</v>
      </c>
      <c r="K133" s="2" t="str">
        <f t="shared" si="3"/>
        <v/>
      </c>
    </row>
    <row r="134">
      <c r="A134" s="2"/>
      <c r="B134" s="7"/>
      <c r="D134" s="5" t="str">
        <f>IF(A134 = "", "", COUNTIFS('Game Record'!G:G, A134, 'Game Record'!E:E, C134))</f>
        <v/>
      </c>
      <c r="E134" s="6" t="str">
        <f>IF(A134 = "", "", COUNTIFS('Game Record'!H:H, A134, 'Game Record'!E:E, C134))</f>
        <v/>
      </c>
      <c r="F134" s="2">
        <f t="shared" si="1"/>
        <v>0</v>
      </c>
      <c r="G134" s="1" t="str">
        <f>IF(A134 = "", "", COUNTIF('Game Record'!G:G, A134))</f>
        <v/>
      </c>
      <c r="H134" s="6" t="str">
        <f>IF(A134 = "", "", COUNTIF('Game Record'!H:H, A134))</f>
        <v/>
      </c>
      <c r="I134" s="2">
        <f>IFERROR(__xludf.DUMMYFUNCTION("SUM(FILTER(TeamARecordSet, INDEX(TeamARecordSet, 0, 1) = A134)) + SUM(FILTER(TeamBRecordSet, INDEX(TeamBRecordSet, 0, 1) = A134))"),0.0)</f>
        <v>0</v>
      </c>
      <c r="J134" s="2">
        <f t="shared" si="2"/>
        <v>0</v>
      </c>
      <c r="K134" s="2" t="str">
        <f t="shared" si="3"/>
        <v/>
      </c>
    </row>
    <row r="135">
      <c r="A135" s="2"/>
      <c r="B135" s="7"/>
      <c r="D135" s="5" t="str">
        <f>IF(A135 = "", "", COUNTIFS('Game Record'!G:G, A135, 'Game Record'!E:E, C135))</f>
        <v/>
      </c>
      <c r="E135" s="6" t="str">
        <f>IF(A135 = "", "", COUNTIFS('Game Record'!H:H, A135, 'Game Record'!E:E, C135))</f>
        <v/>
      </c>
      <c r="F135" s="2">
        <f t="shared" si="1"/>
        <v>0</v>
      </c>
      <c r="G135" s="1" t="str">
        <f>IF(A135 = "", "", COUNTIF('Game Record'!G:G, A135))</f>
        <v/>
      </c>
      <c r="H135" s="6" t="str">
        <f>IF(A135 = "", "", COUNTIF('Game Record'!H:H, A135))</f>
        <v/>
      </c>
      <c r="I135" s="2">
        <f>IFERROR(__xludf.DUMMYFUNCTION("SUM(FILTER(TeamARecordSet, INDEX(TeamARecordSet, 0, 1) = A135)) + SUM(FILTER(TeamBRecordSet, INDEX(TeamBRecordSet, 0, 1) = A135))"),0.0)</f>
        <v>0</v>
      </c>
      <c r="J135" s="2">
        <f t="shared" si="2"/>
        <v>0</v>
      </c>
      <c r="K135" s="2" t="str">
        <f t="shared" si="3"/>
        <v/>
      </c>
    </row>
    <row r="136">
      <c r="A136" s="2"/>
      <c r="B136" s="7"/>
      <c r="D136" s="5" t="str">
        <f>IF(A136 = "", "", COUNTIFS('Game Record'!G:G, A136, 'Game Record'!E:E, C136))</f>
        <v/>
      </c>
      <c r="E136" s="6" t="str">
        <f>IF(A136 = "", "", COUNTIFS('Game Record'!H:H, A136, 'Game Record'!E:E, C136))</f>
        <v/>
      </c>
      <c r="F136" s="2">
        <f t="shared" si="1"/>
        <v>0</v>
      </c>
      <c r="G136" s="1" t="str">
        <f>IF(A136 = "", "", COUNTIF('Game Record'!G:G, A136))</f>
        <v/>
      </c>
      <c r="H136" s="6" t="str">
        <f>IF(A136 = "", "", COUNTIF('Game Record'!H:H, A136))</f>
        <v/>
      </c>
      <c r="I136" s="2">
        <f>IFERROR(__xludf.DUMMYFUNCTION("SUM(FILTER(TeamARecordSet, INDEX(TeamARecordSet, 0, 1) = A136)) + SUM(FILTER(TeamBRecordSet, INDEX(TeamBRecordSet, 0, 1) = A136))"),0.0)</f>
        <v>0</v>
      </c>
      <c r="J136" s="2">
        <f t="shared" si="2"/>
        <v>0</v>
      </c>
      <c r="K136" s="2" t="str">
        <f t="shared" si="3"/>
        <v/>
      </c>
    </row>
    <row r="137">
      <c r="A137" s="2"/>
      <c r="B137" s="7"/>
      <c r="D137" s="5" t="str">
        <f>IF(A137 = "", "", COUNTIFS('Game Record'!G:G, A137, 'Game Record'!E:E, C137))</f>
        <v/>
      </c>
      <c r="E137" s="6" t="str">
        <f>IF(A137 = "", "", COUNTIFS('Game Record'!H:H, A137, 'Game Record'!E:E, C137))</f>
        <v/>
      </c>
      <c r="F137" s="2">
        <f t="shared" si="1"/>
        <v>0</v>
      </c>
      <c r="G137" s="1" t="str">
        <f>IF(A137 = "", "", COUNTIF('Game Record'!G:G, A137))</f>
        <v/>
      </c>
      <c r="H137" s="6" t="str">
        <f>IF(A137 = "", "", COUNTIF('Game Record'!H:H, A137))</f>
        <v/>
      </c>
      <c r="I137" s="2">
        <f>IFERROR(__xludf.DUMMYFUNCTION("SUM(FILTER(TeamARecordSet, INDEX(TeamARecordSet, 0, 1) = A137)) + SUM(FILTER(TeamBRecordSet, INDEX(TeamBRecordSet, 0, 1) = A137))"),0.0)</f>
        <v>0</v>
      </c>
      <c r="J137" s="2">
        <f t="shared" si="2"/>
        <v>0</v>
      </c>
      <c r="K137" s="2" t="str">
        <f t="shared" si="3"/>
        <v/>
      </c>
    </row>
    <row r="138">
      <c r="A138" s="2"/>
      <c r="B138" s="7"/>
      <c r="D138" s="5" t="str">
        <f>IF(A138 = "", "", COUNTIFS('Game Record'!G:G, A138, 'Game Record'!E:E, C138))</f>
        <v/>
      </c>
      <c r="E138" s="6" t="str">
        <f>IF(A138 = "", "", COUNTIFS('Game Record'!H:H, A138, 'Game Record'!E:E, C138))</f>
        <v/>
      </c>
      <c r="F138" s="2">
        <f t="shared" si="1"/>
        <v>0</v>
      </c>
      <c r="G138" s="1" t="str">
        <f>IF(A138 = "", "", COUNTIF('Game Record'!G:G, A138))</f>
        <v/>
      </c>
      <c r="H138" s="6" t="str">
        <f>IF(A138 = "", "", COUNTIF('Game Record'!H:H, A138))</f>
        <v/>
      </c>
      <c r="I138" s="2">
        <f>IFERROR(__xludf.DUMMYFUNCTION("SUM(FILTER(TeamARecordSet, INDEX(TeamARecordSet, 0, 1) = A138)) + SUM(FILTER(TeamBRecordSet, INDEX(TeamBRecordSet, 0, 1) = A138))"),0.0)</f>
        <v>0</v>
      </c>
      <c r="J138" s="2">
        <f t="shared" si="2"/>
        <v>0</v>
      </c>
      <c r="K138" s="2" t="str">
        <f t="shared" si="3"/>
        <v/>
      </c>
    </row>
    <row r="139">
      <c r="A139" s="2"/>
      <c r="B139" s="7"/>
      <c r="D139" s="5" t="str">
        <f>IF(A139 = "", "", COUNTIFS('Game Record'!G:G, A139, 'Game Record'!E:E, C139))</f>
        <v/>
      </c>
      <c r="E139" s="6" t="str">
        <f>IF(A139 = "", "", COUNTIFS('Game Record'!H:H, A139, 'Game Record'!E:E, C139))</f>
        <v/>
      </c>
      <c r="F139" s="2">
        <f t="shared" si="1"/>
        <v>0</v>
      </c>
      <c r="G139" s="1" t="str">
        <f>IF(A139 = "", "", COUNTIF('Game Record'!G:G, A139))</f>
        <v/>
      </c>
      <c r="H139" s="6" t="str">
        <f>IF(A139 = "", "", COUNTIF('Game Record'!H:H, A139))</f>
        <v/>
      </c>
      <c r="I139" s="2">
        <f>IFERROR(__xludf.DUMMYFUNCTION("SUM(FILTER(TeamARecordSet, INDEX(TeamARecordSet, 0, 1) = A139)) + SUM(FILTER(TeamBRecordSet, INDEX(TeamBRecordSet, 0, 1) = A139))"),0.0)</f>
        <v>0</v>
      </c>
      <c r="J139" s="2">
        <f t="shared" si="2"/>
        <v>0</v>
      </c>
      <c r="K139" s="2" t="str">
        <f t="shared" si="3"/>
        <v/>
      </c>
    </row>
    <row r="140">
      <c r="A140" s="2"/>
      <c r="B140" s="7"/>
      <c r="D140" s="5" t="str">
        <f>IF(A140 = "", "", COUNTIFS('Game Record'!G:G, A140, 'Game Record'!E:E, C140))</f>
        <v/>
      </c>
      <c r="E140" s="6" t="str">
        <f>IF(A140 = "", "", COUNTIFS('Game Record'!H:H, A140, 'Game Record'!E:E, C140))</f>
        <v/>
      </c>
      <c r="F140" s="2">
        <f t="shared" si="1"/>
        <v>0</v>
      </c>
      <c r="G140" s="1" t="str">
        <f>IF(A140 = "", "", COUNTIF('Game Record'!G:G, A140))</f>
        <v/>
      </c>
      <c r="H140" s="6" t="str">
        <f>IF(A140 = "", "", COUNTIF('Game Record'!H:H, A140))</f>
        <v/>
      </c>
      <c r="I140" s="2">
        <f>IFERROR(__xludf.DUMMYFUNCTION("SUM(FILTER(TeamARecordSet, INDEX(TeamARecordSet, 0, 1) = A140)) + SUM(FILTER(TeamBRecordSet, INDEX(TeamBRecordSet, 0, 1) = A140))"),0.0)</f>
        <v>0</v>
      </c>
      <c r="J140" s="2">
        <f t="shared" si="2"/>
        <v>0</v>
      </c>
      <c r="K140" s="2" t="str">
        <f t="shared" si="3"/>
        <v/>
      </c>
    </row>
    <row r="141">
      <c r="A141" s="2"/>
      <c r="B141" s="7"/>
      <c r="D141" s="5" t="str">
        <f>IF(A141 = "", "", COUNTIFS('Game Record'!G:G, A141, 'Game Record'!E:E, C141))</f>
        <v/>
      </c>
      <c r="E141" s="6" t="str">
        <f>IF(A141 = "", "", COUNTIFS('Game Record'!H:H, A141, 'Game Record'!E:E, C141))</f>
        <v/>
      </c>
      <c r="F141" s="2">
        <f t="shared" si="1"/>
        <v>0</v>
      </c>
      <c r="G141" s="1" t="str">
        <f>IF(A141 = "", "", COUNTIF('Game Record'!G:G, A141))</f>
        <v/>
      </c>
      <c r="H141" s="6" t="str">
        <f>IF(A141 = "", "", COUNTIF('Game Record'!H:H, A141))</f>
        <v/>
      </c>
      <c r="I141" s="2">
        <f>IFERROR(__xludf.DUMMYFUNCTION("SUM(FILTER(TeamARecordSet, INDEX(TeamARecordSet, 0, 1) = A141)) + SUM(FILTER(TeamBRecordSet, INDEX(TeamBRecordSet, 0, 1) = A141))"),0.0)</f>
        <v>0</v>
      </c>
      <c r="J141" s="2">
        <f t="shared" si="2"/>
        <v>0</v>
      </c>
      <c r="K141" s="2" t="str">
        <f t="shared" si="3"/>
        <v/>
      </c>
    </row>
    <row r="142">
      <c r="A142" s="2"/>
      <c r="B142" s="7"/>
      <c r="D142" s="5" t="str">
        <f>IF(A142 = "", "", COUNTIFS('Game Record'!G:G, A142, 'Game Record'!E:E, C142))</f>
        <v/>
      </c>
      <c r="E142" s="6" t="str">
        <f>IF(A142 = "", "", COUNTIFS('Game Record'!H:H, A142, 'Game Record'!E:E, C142))</f>
        <v/>
      </c>
      <c r="F142" s="2">
        <f t="shared" si="1"/>
        <v>0</v>
      </c>
      <c r="G142" s="1" t="str">
        <f>IF(A142 = "", "", COUNTIF('Game Record'!G:G, A142))</f>
        <v/>
      </c>
      <c r="H142" s="6" t="str">
        <f>IF(A142 = "", "", COUNTIF('Game Record'!H:H, A142))</f>
        <v/>
      </c>
      <c r="I142" s="2">
        <f>IFERROR(__xludf.DUMMYFUNCTION("SUM(FILTER(TeamARecordSet, INDEX(TeamARecordSet, 0, 1) = A142)) + SUM(FILTER(TeamBRecordSet, INDEX(TeamBRecordSet, 0, 1) = A142))"),0.0)</f>
        <v>0</v>
      </c>
      <c r="J142" s="2">
        <f t="shared" si="2"/>
        <v>0</v>
      </c>
      <c r="K142" s="2" t="str">
        <f t="shared" si="3"/>
        <v/>
      </c>
    </row>
    <row r="143">
      <c r="A143" s="2"/>
      <c r="B143" s="7"/>
      <c r="D143" s="5" t="str">
        <f>IF(A143 = "", "", COUNTIFS('Game Record'!G:G, A143, 'Game Record'!E:E, C143))</f>
        <v/>
      </c>
      <c r="E143" s="6" t="str">
        <f>IF(A143 = "", "", COUNTIFS('Game Record'!H:H, A143, 'Game Record'!E:E, C143))</f>
        <v/>
      </c>
      <c r="F143" s="2">
        <f t="shared" si="1"/>
        <v>0</v>
      </c>
      <c r="G143" s="1" t="str">
        <f>IF(A143 = "", "", COUNTIF('Game Record'!G:G, A143))</f>
        <v/>
      </c>
      <c r="H143" s="6" t="str">
        <f>IF(A143 = "", "", COUNTIF('Game Record'!H:H, A143))</f>
        <v/>
      </c>
      <c r="I143" s="2">
        <f>IFERROR(__xludf.DUMMYFUNCTION("SUM(FILTER(TeamARecordSet, INDEX(TeamARecordSet, 0, 1) = A143)) + SUM(FILTER(TeamBRecordSet, INDEX(TeamBRecordSet, 0, 1) = A143))"),0.0)</f>
        <v>0</v>
      </c>
      <c r="J143" s="2">
        <f t="shared" si="2"/>
        <v>0</v>
      </c>
      <c r="K143" s="2" t="str">
        <f t="shared" si="3"/>
        <v/>
      </c>
    </row>
    <row r="144">
      <c r="A144" s="2"/>
      <c r="B144" s="7"/>
      <c r="D144" s="5" t="str">
        <f>IF(A144 = "", "", COUNTIFS('Game Record'!G:G, A144, 'Game Record'!E:E, C144))</f>
        <v/>
      </c>
      <c r="E144" s="6" t="str">
        <f>IF(A144 = "", "", COUNTIFS('Game Record'!H:H, A144, 'Game Record'!E:E, C144))</f>
        <v/>
      </c>
      <c r="F144" s="2">
        <f t="shared" si="1"/>
        <v>0</v>
      </c>
      <c r="G144" s="1" t="str">
        <f>IF(A144 = "", "", COUNTIF('Game Record'!G:G, A144))</f>
        <v/>
      </c>
      <c r="H144" s="6" t="str">
        <f>IF(A144 = "", "", COUNTIF('Game Record'!H:H, A144))</f>
        <v/>
      </c>
      <c r="I144" s="2">
        <f>IFERROR(__xludf.DUMMYFUNCTION("SUM(FILTER(TeamARecordSet, INDEX(TeamARecordSet, 0, 1) = A144)) + SUM(FILTER(TeamBRecordSet, INDEX(TeamBRecordSet, 0, 1) = A144))"),0.0)</f>
        <v>0</v>
      </c>
      <c r="J144" s="2">
        <f t="shared" si="2"/>
        <v>0</v>
      </c>
      <c r="K144" s="2" t="str">
        <f t="shared" si="3"/>
        <v/>
      </c>
    </row>
    <row r="145">
      <c r="A145" s="2"/>
      <c r="B145" s="7"/>
      <c r="D145" s="5" t="str">
        <f>IF(A145 = "", "", COUNTIFS('Game Record'!G:G, A145, 'Game Record'!E:E, C145))</f>
        <v/>
      </c>
      <c r="E145" s="6" t="str">
        <f>IF(A145 = "", "", COUNTIFS('Game Record'!H:H, A145, 'Game Record'!E:E, C145))</f>
        <v/>
      </c>
      <c r="F145" s="2">
        <f t="shared" si="1"/>
        <v>0</v>
      </c>
      <c r="G145" s="1" t="str">
        <f>IF(A145 = "", "", COUNTIF('Game Record'!G:G, A145))</f>
        <v/>
      </c>
      <c r="H145" s="6" t="str">
        <f>IF(A145 = "", "", COUNTIF('Game Record'!H:H, A145))</f>
        <v/>
      </c>
      <c r="I145" s="2">
        <f>IFERROR(__xludf.DUMMYFUNCTION("SUM(FILTER(TeamARecordSet, INDEX(TeamARecordSet, 0, 1) = A145)) + SUM(FILTER(TeamBRecordSet, INDEX(TeamBRecordSet, 0, 1) = A145))"),0.0)</f>
        <v>0</v>
      </c>
      <c r="J145" s="2">
        <f t="shared" si="2"/>
        <v>0</v>
      </c>
      <c r="K145" s="2" t="str">
        <f t="shared" si="3"/>
        <v/>
      </c>
    </row>
    <row r="146">
      <c r="A146" s="2"/>
      <c r="B146" s="7"/>
      <c r="D146" s="5" t="str">
        <f>IF(A146 = "", "", COUNTIFS('Game Record'!G:G, A146, 'Game Record'!E:E, C146))</f>
        <v/>
      </c>
      <c r="E146" s="6" t="str">
        <f>IF(A146 = "", "", COUNTIFS('Game Record'!H:H, A146, 'Game Record'!E:E, C146))</f>
        <v/>
      </c>
      <c r="F146" s="2">
        <f t="shared" si="1"/>
        <v>0</v>
      </c>
      <c r="G146" s="1" t="str">
        <f>IF(A146 = "", "", COUNTIF('Game Record'!G:G, A146))</f>
        <v/>
      </c>
      <c r="H146" s="6" t="str">
        <f>IF(A146 = "", "", COUNTIF('Game Record'!H:H, A146))</f>
        <v/>
      </c>
      <c r="I146" s="2">
        <f>IFERROR(__xludf.DUMMYFUNCTION("SUM(FILTER(TeamARecordSet, INDEX(TeamARecordSet, 0, 1) = A146)) + SUM(FILTER(TeamBRecordSet, INDEX(TeamBRecordSet, 0, 1) = A146))"),0.0)</f>
        <v>0</v>
      </c>
      <c r="J146" s="2">
        <f t="shared" si="2"/>
        <v>0</v>
      </c>
      <c r="K146" s="2" t="str">
        <f t="shared" si="3"/>
        <v/>
      </c>
    </row>
    <row r="147">
      <c r="A147" s="2"/>
      <c r="B147" s="7"/>
      <c r="D147" s="5" t="str">
        <f>IF(A147 = "", "", COUNTIFS('Game Record'!G:G, A147, 'Game Record'!E:E, C147))</f>
        <v/>
      </c>
      <c r="E147" s="6" t="str">
        <f>IF(A147 = "", "", COUNTIFS('Game Record'!H:H, A147, 'Game Record'!E:E, C147))</f>
        <v/>
      </c>
      <c r="F147" s="2">
        <f t="shared" si="1"/>
        <v>0</v>
      </c>
      <c r="G147" s="1" t="str">
        <f>IF(A147 = "", "", COUNTIF('Game Record'!G:G, A147))</f>
        <v/>
      </c>
      <c r="H147" s="6" t="str">
        <f>IF(A147 = "", "", COUNTIF('Game Record'!H:H, A147))</f>
        <v/>
      </c>
      <c r="I147" s="2">
        <f>IFERROR(__xludf.DUMMYFUNCTION("SUM(FILTER(TeamARecordSet, INDEX(TeamARecordSet, 0, 1) = A147)) + SUM(FILTER(TeamBRecordSet, INDEX(TeamBRecordSet, 0, 1) = A147))"),0.0)</f>
        <v>0</v>
      </c>
      <c r="J147" s="2">
        <f t="shared" si="2"/>
        <v>0</v>
      </c>
      <c r="K147" s="2" t="str">
        <f t="shared" si="3"/>
        <v/>
      </c>
    </row>
    <row r="148">
      <c r="A148" s="2"/>
      <c r="B148" s="7"/>
      <c r="D148" s="5" t="str">
        <f>IF(A148 = "", "", COUNTIFS('Game Record'!G:G, A148, 'Game Record'!E:E, C148))</f>
        <v/>
      </c>
      <c r="E148" s="6" t="str">
        <f>IF(A148 = "", "", COUNTIFS('Game Record'!H:H, A148, 'Game Record'!E:E, C148))</f>
        <v/>
      </c>
      <c r="F148" s="2">
        <f t="shared" si="1"/>
        <v>0</v>
      </c>
      <c r="G148" s="1" t="str">
        <f>IF(A148 = "", "", COUNTIF('Game Record'!G:G, A148))</f>
        <v/>
      </c>
      <c r="H148" s="6" t="str">
        <f>IF(A148 = "", "", COUNTIF('Game Record'!H:H, A148))</f>
        <v/>
      </c>
      <c r="I148" s="2">
        <f>IFERROR(__xludf.DUMMYFUNCTION("SUM(FILTER(TeamARecordSet, INDEX(TeamARecordSet, 0, 1) = A148)) + SUM(FILTER(TeamBRecordSet, INDEX(TeamBRecordSet, 0, 1) = A148))"),0.0)</f>
        <v>0</v>
      </c>
      <c r="J148" s="2">
        <f t="shared" si="2"/>
        <v>0</v>
      </c>
      <c r="K148" s="2" t="str">
        <f t="shared" si="3"/>
        <v/>
      </c>
    </row>
    <row r="149">
      <c r="A149" s="2"/>
      <c r="B149" s="7"/>
      <c r="D149" s="5" t="str">
        <f>IF(A149 = "", "", COUNTIFS('Game Record'!G:G, A149, 'Game Record'!E:E, C149))</f>
        <v/>
      </c>
      <c r="E149" s="6" t="str">
        <f>IF(A149 = "", "", COUNTIFS('Game Record'!H:H, A149, 'Game Record'!E:E, C149))</f>
        <v/>
      </c>
      <c r="F149" s="2">
        <f t="shared" si="1"/>
        <v>0</v>
      </c>
      <c r="G149" s="1" t="str">
        <f>IF(A149 = "", "", COUNTIF('Game Record'!G:G, A149))</f>
        <v/>
      </c>
      <c r="H149" s="6" t="str">
        <f>IF(A149 = "", "", COUNTIF('Game Record'!H:H, A149))</f>
        <v/>
      </c>
      <c r="I149" s="2">
        <f>IFERROR(__xludf.DUMMYFUNCTION("SUM(FILTER(TeamARecordSet, INDEX(TeamARecordSet, 0, 1) = A149)) + SUM(FILTER(TeamBRecordSet, INDEX(TeamBRecordSet, 0, 1) = A149))"),0.0)</f>
        <v>0</v>
      </c>
      <c r="J149" s="2">
        <f t="shared" si="2"/>
        <v>0</v>
      </c>
      <c r="K149" s="2" t="str">
        <f t="shared" si="3"/>
        <v/>
      </c>
    </row>
    <row r="150">
      <c r="A150" s="2"/>
      <c r="B150" s="7"/>
      <c r="D150" s="5" t="str">
        <f>IF(A150 = "", "", COUNTIFS('Game Record'!G:G, A150, 'Game Record'!E:E, C150))</f>
        <v/>
      </c>
      <c r="E150" s="6" t="str">
        <f>IF(A150 = "", "", COUNTIFS('Game Record'!H:H, A150, 'Game Record'!E:E, C150))</f>
        <v/>
      </c>
      <c r="F150" s="2">
        <f t="shared" si="1"/>
        <v>0</v>
      </c>
      <c r="G150" s="1" t="str">
        <f>IF(A150 = "", "", COUNTIF('Game Record'!G:G, A150))</f>
        <v/>
      </c>
      <c r="H150" s="6" t="str">
        <f>IF(A150 = "", "", COUNTIF('Game Record'!H:H, A150))</f>
        <v/>
      </c>
      <c r="I150" s="2">
        <f>IFERROR(__xludf.DUMMYFUNCTION("SUM(FILTER(TeamARecordSet, INDEX(TeamARecordSet, 0, 1) = A150)) + SUM(FILTER(TeamBRecordSet, INDEX(TeamBRecordSet, 0, 1) = A150))"),0.0)</f>
        <v>0</v>
      </c>
      <c r="J150" s="2">
        <f t="shared" si="2"/>
        <v>0</v>
      </c>
      <c r="K150" s="2" t="str">
        <f t="shared" si="3"/>
        <v/>
      </c>
    </row>
    <row r="151">
      <c r="A151" s="2"/>
      <c r="B151" s="7"/>
      <c r="D151" s="5" t="str">
        <f>IF(A151 = "", "", COUNTIFS('Game Record'!G:G, A151, 'Game Record'!E:E, C151))</f>
        <v/>
      </c>
      <c r="E151" s="6" t="str">
        <f>IF(A151 = "", "", COUNTIFS('Game Record'!H:H, A151, 'Game Record'!E:E, C151))</f>
        <v/>
      </c>
      <c r="F151" s="2">
        <f t="shared" si="1"/>
        <v>0</v>
      </c>
      <c r="G151" s="1" t="str">
        <f>IF(A151 = "", "", COUNTIF('Game Record'!G:G, A151))</f>
        <v/>
      </c>
      <c r="H151" s="6" t="str">
        <f>IF(A151 = "", "", COUNTIF('Game Record'!H:H, A151))</f>
        <v/>
      </c>
      <c r="I151" s="2">
        <f>IFERROR(__xludf.DUMMYFUNCTION("SUM(FILTER(TeamARecordSet, INDEX(TeamARecordSet, 0, 1) = A151)) + SUM(FILTER(TeamBRecordSet, INDEX(TeamBRecordSet, 0, 1) = A151))"),0.0)</f>
        <v>0</v>
      </c>
      <c r="J151" s="2">
        <f t="shared" si="2"/>
        <v>0</v>
      </c>
      <c r="K151" s="2" t="str">
        <f t="shared" si="3"/>
        <v/>
      </c>
    </row>
    <row r="152">
      <c r="A152" s="2"/>
      <c r="B152" s="7"/>
      <c r="D152" s="5" t="str">
        <f>IF(A152 = "", "", COUNTIFS('Game Record'!G:G, A152, 'Game Record'!E:E, C152))</f>
        <v/>
      </c>
      <c r="E152" s="6" t="str">
        <f>IF(A152 = "", "", COUNTIFS('Game Record'!H:H, A152, 'Game Record'!E:E, C152))</f>
        <v/>
      </c>
      <c r="F152" s="2">
        <f t="shared" si="1"/>
        <v>0</v>
      </c>
      <c r="G152" s="1" t="str">
        <f>IF(A152 = "", "", COUNTIF('Game Record'!G:G, A152))</f>
        <v/>
      </c>
      <c r="H152" s="6" t="str">
        <f>IF(A152 = "", "", COUNTIF('Game Record'!H:H, A152))</f>
        <v/>
      </c>
      <c r="I152" s="2">
        <f>IFERROR(__xludf.DUMMYFUNCTION("SUM(FILTER(TeamARecordSet, INDEX(TeamARecordSet, 0, 1) = A152)) + SUM(FILTER(TeamBRecordSet, INDEX(TeamBRecordSet, 0, 1) = A152))"),0.0)</f>
        <v>0</v>
      </c>
      <c r="J152" s="2">
        <f t="shared" si="2"/>
        <v>0</v>
      </c>
      <c r="K152" s="2" t="str">
        <f t="shared" si="3"/>
        <v/>
      </c>
    </row>
    <row r="153">
      <c r="A153" s="2"/>
      <c r="B153" s="7"/>
      <c r="D153" s="5" t="str">
        <f>IF(A153 = "", "", COUNTIFS('Game Record'!G:G, A153, 'Game Record'!E:E, C153))</f>
        <v/>
      </c>
      <c r="E153" s="6" t="str">
        <f>IF(A153 = "", "", COUNTIFS('Game Record'!H:H, A153, 'Game Record'!E:E, C153))</f>
        <v/>
      </c>
      <c r="F153" s="2">
        <f t="shared" si="1"/>
        <v>0</v>
      </c>
      <c r="G153" s="1" t="str">
        <f>IF(A153 = "", "", COUNTIF('Game Record'!G:G, A153))</f>
        <v/>
      </c>
      <c r="H153" s="6" t="str">
        <f>IF(A153 = "", "", COUNTIF('Game Record'!H:H, A153))</f>
        <v/>
      </c>
      <c r="I153" s="2">
        <f>IFERROR(__xludf.DUMMYFUNCTION("SUM(FILTER(TeamARecordSet, INDEX(TeamARecordSet, 0, 1) = A153)) + SUM(FILTER(TeamBRecordSet, INDEX(TeamBRecordSet, 0, 1) = A153))"),0.0)</f>
        <v>0</v>
      </c>
      <c r="J153" s="2">
        <f t="shared" si="2"/>
        <v>0</v>
      </c>
      <c r="K153" s="2" t="str">
        <f t="shared" si="3"/>
        <v/>
      </c>
    </row>
    <row r="154">
      <c r="A154" s="2"/>
      <c r="B154" s="7"/>
      <c r="D154" s="5" t="str">
        <f>IF(A154 = "", "", COUNTIFS('Game Record'!G:G, A154, 'Game Record'!E:E, C154))</f>
        <v/>
      </c>
      <c r="E154" s="6" t="str">
        <f>IF(A154 = "", "", COUNTIFS('Game Record'!H:H, A154, 'Game Record'!E:E, C154))</f>
        <v/>
      </c>
      <c r="F154" s="2">
        <f t="shared" si="1"/>
        <v>0</v>
      </c>
      <c r="G154" s="1" t="str">
        <f>IF(A154 = "", "", COUNTIF('Game Record'!G:G, A154))</f>
        <v/>
      </c>
      <c r="H154" s="6" t="str">
        <f>IF(A154 = "", "", COUNTIF('Game Record'!H:H, A154))</f>
        <v/>
      </c>
      <c r="I154" s="2">
        <f>IFERROR(__xludf.DUMMYFUNCTION("SUM(FILTER(TeamARecordSet, INDEX(TeamARecordSet, 0, 1) = A154)) + SUM(FILTER(TeamBRecordSet, INDEX(TeamBRecordSet, 0, 1) = A154))"),0.0)</f>
        <v>0</v>
      </c>
      <c r="J154" s="2">
        <f t="shared" si="2"/>
        <v>0</v>
      </c>
      <c r="K154" s="2" t="str">
        <f t="shared" si="3"/>
        <v/>
      </c>
    </row>
    <row r="155">
      <c r="A155" s="2"/>
      <c r="B155" s="7"/>
      <c r="D155" s="5" t="str">
        <f>IF(A155 = "", "", COUNTIFS('Game Record'!G:G, A155, 'Game Record'!E:E, C155))</f>
        <v/>
      </c>
      <c r="E155" s="6" t="str">
        <f>IF(A155 = "", "", COUNTIFS('Game Record'!H:H, A155, 'Game Record'!E:E, C155))</f>
        <v/>
      </c>
      <c r="F155" s="2">
        <f t="shared" si="1"/>
        <v>0</v>
      </c>
      <c r="G155" s="1" t="str">
        <f>IF(A155 = "", "", COUNTIF('Game Record'!G:G, A155))</f>
        <v/>
      </c>
      <c r="H155" s="6" t="str">
        <f>IF(A155 = "", "", COUNTIF('Game Record'!H:H, A155))</f>
        <v/>
      </c>
      <c r="I155" s="2">
        <f>IFERROR(__xludf.DUMMYFUNCTION("SUM(FILTER(TeamARecordSet, INDEX(TeamARecordSet, 0, 1) = A155)) + SUM(FILTER(TeamBRecordSet, INDEX(TeamBRecordSet, 0, 1) = A155))"),0.0)</f>
        <v>0</v>
      </c>
      <c r="J155" s="2">
        <f t="shared" si="2"/>
        <v>0</v>
      </c>
      <c r="K155" s="2" t="str">
        <f t="shared" si="3"/>
        <v/>
      </c>
    </row>
    <row r="156">
      <c r="A156" s="2"/>
      <c r="B156" s="7"/>
      <c r="D156" s="5" t="str">
        <f>IF(A156 = "", "", COUNTIFS('Game Record'!G:G, A156, 'Game Record'!E:E, C156))</f>
        <v/>
      </c>
      <c r="E156" s="6" t="str">
        <f>IF(A156 = "", "", COUNTIFS('Game Record'!H:H, A156, 'Game Record'!E:E, C156))</f>
        <v/>
      </c>
      <c r="F156" s="2">
        <f t="shared" si="1"/>
        <v>0</v>
      </c>
      <c r="G156" s="1" t="str">
        <f>IF(A156 = "", "", COUNTIF('Game Record'!G:G, A156))</f>
        <v/>
      </c>
      <c r="H156" s="6" t="str">
        <f>IF(A156 = "", "", COUNTIF('Game Record'!H:H, A156))</f>
        <v/>
      </c>
      <c r="I156" s="2">
        <f>IFERROR(__xludf.DUMMYFUNCTION("SUM(FILTER(TeamARecordSet, INDEX(TeamARecordSet, 0, 1) = A156)) + SUM(FILTER(TeamBRecordSet, INDEX(TeamBRecordSet, 0, 1) = A156))"),0.0)</f>
        <v>0</v>
      </c>
      <c r="J156" s="2">
        <f t="shared" si="2"/>
        <v>0</v>
      </c>
      <c r="K156" s="2" t="str">
        <f t="shared" si="3"/>
        <v/>
      </c>
    </row>
    <row r="157">
      <c r="A157" s="2"/>
      <c r="B157" s="7"/>
      <c r="D157" s="5" t="str">
        <f>IF(A157 = "", "", COUNTIFS('Game Record'!G:G, A157, 'Game Record'!E:E, C157))</f>
        <v/>
      </c>
      <c r="E157" s="6" t="str">
        <f>IF(A157 = "", "", COUNTIFS('Game Record'!H:H, A157, 'Game Record'!E:E, C157))</f>
        <v/>
      </c>
      <c r="F157" s="2">
        <f t="shared" si="1"/>
        <v>0</v>
      </c>
      <c r="G157" s="1" t="str">
        <f>IF(A157 = "", "", COUNTIF('Game Record'!G:G, A157))</f>
        <v/>
      </c>
      <c r="H157" s="6" t="str">
        <f>IF(A157 = "", "", COUNTIF('Game Record'!H:H, A157))</f>
        <v/>
      </c>
      <c r="I157" s="2">
        <f>IFERROR(__xludf.DUMMYFUNCTION("SUM(FILTER(TeamARecordSet, INDEX(TeamARecordSet, 0, 1) = A157)) + SUM(FILTER(TeamBRecordSet, INDEX(TeamBRecordSet, 0, 1) = A157))"),0.0)</f>
        <v>0</v>
      </c>
      <c r="J157" s="2">
        <f t="shared" si="2"/>
        <v>0</v>
      </c>
      <c r="K157" s="2" t="str">
        <f t="shared" si="3"/>
        <v/>
      </c>
    </row>
    <row r="158">
      <c r="A158" s="2"/>
      <c r="B158" s="7"/>
      <c r="D158" s="5" t="str">
        <f>IF(A158 = "", "", COUNTIFS('Game Record'!G:G, A158, 'Game Record'!E:E, C158))</f>
        <v/>
      </c>
      <c r="E158" s="6" t="str">
        <f>IF(A158 = "", "", COUNTIFS('Game Record'!H:H, A158, 'Game Record'!E:E, C158))</f>
        <v/>
      </c>
      <c r="F158" s="2">
        <f t="shared" si="1"/>
        <v>0</v>
      </c>
      <c r="G158" s="1" t="str">
        <f>IF(A158 = "", "", COUNTIF('Game Record'!G:G, A158))</f>
        <v/>
      </c>
      <c r="H158" s="6" t="str">
        <f>IF(A158 = "", "", COUNTIF('Game Record'!H:H, A158))</f>
        <v/>
      </c>
      <c r="I158" s="2">
        <f>IFERROR(__xludf.DUMMYFUNCTION("SUM(FILTER(TeamARecordSet, INDEX(TeamARecordSet, 0, 1) = A158)) + SUM(FILTER(TeamBRecordSet, INDEX(TeamBRecordSet, 0, 1) = A158))"),0.0)</f>
        <v>0</v>
      </c>
      <c r="J158" s="2">
        <f t="shared" si="2"/>
        <v>0</v>
      </c>
      <c r="K158" s="2" t="str">
        <f t="shared" si="3"/>
        <v/>
      </c>
    </row>
    <row r="159">
      <c r="A159" s="2"/>
      <c r="B159" s="7"/>
      <c r="D159" s="5" t="str">
        <f>IF(A159 = "", "", COUNTIFS('Game Record'!G:G, A159, 'Game Record'!E:E, C159))</f>
        <v/>
      </c>
      <c r="E159" s="6" t="str">
        <f>IF(A159 = "", "", COUNTIFS('Game Record'!H:H, A159, 'Game Record'!E:E, C159))</f>
        <v/>
      </c>
      <c r="F159" s="2">
        <f t="shared" si="1"/>
        <v>0</v>
      </c>
      <c r="G159" s="1" t="str">
        <f>IF(A159 = "", "", COUNTIF('Game Record'!G:G, A159))</f>
        <v/>
      </c>
      <c r="H159" s="6" t="str">
        <f>IF(A159 = "", "", COUNTIF('Game Record'!H:H, A159))</f>
        <v/>
      </c>
      <c r="I159" s="2">
        <f>IFERROR(__xludf.DUMMYFUNCTION("SUM(FILTER(TeamARecordSet, INDEX(TeamARecordSet, 0, 1) = A159)) + SUM(FILTER(TeamBRecordSet, INDEX(TeamBRecordSet, 0, 1) = A159))"),0.0)</f>
        <v>0</v>
      </c>
      <c r="J159" s="2">
        <f t="shared" si="2"/>
        <v>0</v>
      </c>
      <c r="K159" s="2" t="str">
        <f t="shared" si="3"/>
        <v/>
      </c>
    </row>
    <row r="160">
      <c r="A160" s="2"/>
      <c r="B160" s="7"/>
      <c r="D160" s="5" t="str">
        <f>IF(A160 = "", "", COUNTIFS('Game Record'!G:G, A160, 'Game Record'!E:E, C160))</f>
        <v/>
      </c>
      <c r="E160" s="6" t="str">
        <f>IF(A160 = "", "", COUNTIFS('Game Record'!H:H, A160, 'Game Record'!E:E, C160))</f>
        <v/>
      </c>
      <c r="F160" s="2">
        <f t="shared" si="1"/>
        <v>0</v>
      </c>
      <c r="G160" s="1" t="str">
        <f>IF(A160 = "", "", COUNTIF('Game Record'!G:G, A160))</f>
        <v/>
      </c>
      <c r="H160" s="6" t="str">
        <f>IF(A160 = "", "", COUNTIF('Game Record'!H:H, A160))</f>
        <v/>
      </c>
      <c r="I160" s="2">
        <f>IFERROR(__xludf.DUMMYFUNCTION("SUM(FILTER(TeamARecordSet, INDEX(TeamARecordSet, 0, 1) = A160)) + SUM(FILTER(TeamBRecordSet, INDEX(TeamBRecordSet, 0, 1) = A160))"),0.0)</f>
        <v>0</v>
      </c>
      <c r="J160" s="2">
        <f t="shared" si="2"/>
        <v>0</v>
      </c>
      <c r="K160" s="2" t="str">
        <f t="shared" si="3"/>
        <v/>
      </c>
    </row>
    <row r="161">
      <c r="A161" s="2"/>
      <c r="B161" s="7"/>
      <c r="D161" s="5" t="str">
        <f>IF(A161 = "", "", COUNTIFS('Game Record'!G:G, A161, 'Game Record'!E:E, C161))</f>
        <v/>
      </c>
      <c r="E161" s="6" t="str">
        <f>IF(A161 = "", "", COUNTIFS('Game Record'!H:H, A161, 'Game Record'!E:E, C161))</f>
        <v/>
      </c>
      <c r="F161" s="2">
        <f t="shared" si="1"/>
        <v>0</v>
      </c>
      <c r="G161" s="1" t="str">
        <f>IF(A161 = "", "", COUNTIF('Game Record'!G:G, A161))</f>
        <v/>
      </c>
      <c r="H161" s="6" t="str">
        <f>IF(A161 = "", "", COUNTIF('Game Record'!H:H, A161))</f>
        <v/>
      </c>
      <c r="I161" s="2">
        <f>IFERROR(__xludf.DUMMYFUNCTION("SUM(FILTER(TeamARecordSet, INDEX(TeamARecordSet, 0, 1) = A161)) + SUM(FILTER(TeamBRecordSet, INDEX(TeamBRecordSet, 0, 1) = A161))"),0.0)</f>
        <v>0</v>
      </c>
      <c r="J161" s="2">
        <f t="shared" si="2"/>
        <v>0</v>
      </c>
      <c r="K161" s="2" t="str">
        <f t="shared" si="3"/>
        <v/>
      </c>
    </row>
    <row r="162">
      <c r="A162" s="2"/>
      <c r="B162" s="7"/>
      <c r="D162" s="5" t="str">
        <f>IF(A162 = "", "", COUNTIFS('Game Record'!G:G, A162, 'Game Record'!E:E, C162))</f>
        <v/>
      </c>
      <c r="E162" s="6" t="str">
        <f>IF(A162 = "", "", COUNTIFS('Game Record'!H:H, A162, 'Game Record'!E:E, C162))</f>
        <v/>
      </c>
      <c r="F162" s="2">
        <f t="shared" si="1"/>
        <v>0</v>
      </c>
      <c r="G162" s="1" t="str">
        <f>IF(A162 = "", "", COUNTIF('Game Record'!G:G, A162))</f>
        <v/>
      </c>
      <c r="H162" s="6" t="str">
        <f>IF(A162 = "", "", COUNTIF('Game Record'!H:H, A162))</f>
        <v/>
      </c>
      <c r="I162" s="2">
        <f>IFERROR(__xludf.DUMMYFUNCTION("SUM(FILTER(TeamARecordSet, INDEX(TeamARecordSet, 0, 1) = A162)) + SUM(FILTER(TeamBRecordSet, INDEX(TeamBRecordSet, 0, 1) = A162))"),0.0)</f>
        <v>0</v>
      </c>
      <c r="J162" s="2">
        <f t="shared" si="2"/>
        <v>0</v>
      </c>
      <c r="K162" s="2" t="str">
        <f t="shared" si="3"/>
        <v/>
      </c>
    </row>
    <row r="163">
      <c r="A163" s="2"/>
      <c r="B163" s="7"/>
      <c r="D163" s="5" t="str">
        <f>IF(A163 = "", "", COUNTIFS('Game Record'!G:G, A163, 'Game Record'!E:E, C163))</f>
        <v/>
      </c>
      <c r="E163" s="6" t="str">
        <f>IF(A163 = "", "", COUNTIFS('Game Record'!H:H, A163, 'Game Record'!E:E, C163))</f>
        <v/>
      </c>
      <c r="F163" s="2">
        <f t="shared" si="1"/>
        <v>0</v>
      </c>
      <c r="G163" s="1" t="str">
        <f>IF(A163 = "", "", COUNTIF('Game Record'!G:G, A163))</f>
        <v/>
      </c>
      <c r="H163" s="6" t="str">
        <f>IF(A163 = "", "", COUNTIF('Game Record'!H:H, A163))</f>
        <v/>
      </c>
      <c r="I163" s="2">
        <f>IFERROR(__xludf.DUMMYFUNCTION("SUM(FILTER(TeamARecordSet, INDEX(TeamARecordSet, 0, 1) = A163)) + SUM(FILTER(TeamBRecordSet, INDEX(TeamBRecordSet, 0, 1) = A163))"),0.0)</f>
        <v>0</v>
      </c>
      <c r="J163" s="2">
        <f t="shared" si="2"/>
        <v>0</v>
      </c>
      <c r="K163" s="2" t="str">
        <f t="shared" si="3"/>
        <v/>
      </c>
    </row>
    <row r="164">
      <c r="A164" s="2"/>
      <c r="B164" s="7"/>
      <c r="D164" s="5" t="str">
        <f>IF(A164 = "", "", COUNTIFS('Game Record'!G:G, A164, 'Game Record'!E:E, C164))</f>
        <v/>
      </c>
      <c r="E164" s="6" t="str">
        <f>IF(A164 = "", "", COUNTIFS('Game Record'!H:H, A164, 'Game Record'!E:E, C164))</f>
        <v/>
      </c>
      <c r="F164" s="2">
        <f t="shared" si="1"/>
        <v>0</v>
      </c>
      <c r="G164" s="1" t="str">
        <f>IF(A164 = "", "", COUNTIF('Game Record'!G:G, A164))</f>
        <v/>
      </c>
      <c r="H164" s="6" t="str">
        <f>IF(A164 = "", "", COUNTIF('Game Record'!H:H, A164))</f>
        <v/>
      </c>
      <c r="I164" s="2">
        <f>IFERROR(__xludf.DUMMYFUNCTION("SUM(FILTER(TeamARecordSet, INDEX(TeamARecordSet, 0, 1) = A164)) + SUM(FILTER(TeamBRecordSet, INDEX(TeamBRecordSet, 0, 1) = A164))"),0.0)</f>
        <v>0</v>
      </c>
      <c r="J164" s="2">
        <f t="shared" si="2"/>
        <v>0</v>
      </c>
      <c r="K164" s="2" t="str">
        <f t="shared" si="3"/>
        <v/>
      </c>
    </row>
    <row r="165">
      <c r="A165" s="2"/>
      <c r="B165" s="7"/>
      <c r="D165" s="5" t="str">
        <f>IF(A165 = "", "", COUNTIFS('Game Record'!G:G, A165, 'Game Record'!E:E, C165))</f>
        <v/>
      </c>
      <c r="E165" s="6" t="str">
        <f>IF(A165 = "", "", COUNTIFS('Game Record'!H:H, A165, 'Game Record'!E:E, C165))</f>
        <v/>
      </c>
      <c r="F165" s="2">
        <f t="shared" si="1"/>
        <v>0</v>
      </c>
      <c r="G165" s="1" t="str">
        <f>IF(A165 = "", "", COUNTIF('Game Record'!G:G, A165))</f>
        <v/>
      </c>
      <c r="H165" s="6" t="str">
        <f>IF(A165 = "", "", COUNTIF('Game Record'!H:H, A165))</f>
        <v/>
      </c>
      <c r="I165" s="2">
        <f>IFERROR(__xludf.DUMMYFUNCTION("SUM(FILTER(TeamARecordSet, INDEX(TeamARecordSet, 0, 1) = A165)) + SUM(FILTER(TeamBRecordSet, INDEX(TeamBRecordSet, 0, 1) = A165))"),0.0)</f>
        <v>0</v>
      </c>
      <c r="J165" s="2">
        <f t="shared" si="2"/>
        <v>0</v>
      </c>
      <c r="K165" s="2" t="str">
        <f t="shared" si="3"/>
        <v/>
      </c>
    </row>
    <row r="166">
      <c r="A166" s="2"/>
      <c r="B166" s="7"/>
      <c r="D166" s="5" t="str">
        <f>IF(A166 = "", "", COUNTIFS('Game Record'!G:G, A166, 'Game Record'!E:E, C166))</f>
        <v/>
      </c>
      <c r="E166" s="6" t="str">
        <f>IF(A166 = "", "", COUNTIFS('Game Record'!H:H, A166, 'Game Record'!E:E, C166))</f>
        <v/>
      </c>
      <c r="F166" s="2">
        <f t="shared" si="1"/>
        <v>0</v>
      </c>
      <c r="G166" s="1" t="str">
        <f>IF(A166 = "", "", COUNTIF('Game Record'!G:G, A166))</f>
        <v/>
      </c>
      <c r="H166" s="6" t="str">
        <f>IF(A166 = "", "", COUNTIF('Game Record'!H:H, A166))</f>
        <v/>
      </c>
      <c r="I166" s="2">
        <f>IFERROR(__xludf.DUMMYFUNCTION("SUM(FILTER(TeamARecordSet, INDEX(TeamARecordSet, 0, 1) = A166)) + SUM(FILTER(TeamBRecordSet, INDEX(TeamBRecordSet, 0, 1) = A166))"),0.0)</f>
        <v>0</v>
      </c>
      <c r="J166" s="2">
        <f t="shared" si="2"/>
        <v>0</v>
      </c>
      <c r="K166" s="2" t="str">
        <f t="shared" si="3"/>
        <v/>
      </c>
    </row>
    <row r="167">
      <c r="A167" s="2"/>
      <c r="B167" s="7"/>
      <c r="D167" s="5" t="str">
        <f>IF(A167 = "", "", COUNTIFS('Game Record'!G:G, A167, 'Game Record'!E:E, C167))</f>
        <v/>
      </c>
      <c r="E167" s="6" t="str">
        <f>IF(A167 = "", "", COUNTIFS('Game Record'!H:H, A167, 'Game Record'!E:E, C167))</f>
        <v/>
      </c>
      <c r="F167" s="2">
        <f t="shared" si="1"/>
        <v>0</v>
      </c>
      <c r="G167" s="1" t="str">
        <f>IF(A167 = "", "", COUNTIF('Game Record'!G:G, A167))</f>
        <v/>
      </c>
      <c r="H167" s="6" t="str">
        <f>IF(A167 = "", "", COUNTIF('Game Record'!H:H, A167))</f>
        <v/>
      </c>
      <c r="I167" s="2">
        <f>IFERROR(__xludf.DUMMYFUNCTION("SUM(FILTER(TeamARecordSet, INDEX(TeamARecordSet, 0, 1) = A167)) + SUM(FILTER(TeamBRecordSet, INDEX(TeamBRecordSet, 0, 1) = A167))"),0.0)</f>
        <v>0</v>
      </c>
      <c r="J167" s="2">
        <f t="shared" si="2"/>
        <v>0</v>
      </c>
      <c r="K167" s="2" t="str">
        <f t="shared" si="3"/>
        <v/>
      </c>
    </row>
    <row r="168">
      <c r="A168" s="2"/>
      <c r="B168" s="7"/>
      <c r="D168" s="5" t="str">
        <f>IF(A168 = "", "", COUNTIFS('Game Record'!G:G, A168, 'Game Record'!E:E, C168))</f>
        <v/>
      </c>
      <c r="E168" s="6" t="str">
        <f>IF(A168 = "", "", COUNTIFS('Game Record'!H:H, A168, 'Game Record'!E:E, C168))</f>
        <v/>
      </c>
      <c r="F168" s="2">
        <f t="shared" si="1"/>
        <v>0</v>
      </c>
      <c r="G168" s="1" t="str">
        <f>IF(A168 = "", "", COUNTIF('Game Record'!G:G, A168))</f>
        <v/>
      </c>
      <c r="H168" s="6" t="str">
        <f>IF(A168 = "", "", COUNTIF('Game Record'!H:H, A168))</f>
        <v/>
      </c>
      <c r="I168" s="2">
        <f>IFERROR(__xludf.DUMMYFUNCTION("SUM(FILTER(TeamARecordSet, INDEX(TeamARecordSet, 0, 1) = A168)) + SUM(FILTER(TeamBRecordSet, INDEX(TeamBRecordSet, 0, 1) = A168))"),0.0)</f>
        <v>0</v>
      </c>
      <c r="J168" s="2">
        <f t="shared" si="2"/>
        <v>0</v>
      </c>
      <c r="K168" s="2" t="str">
        <f t="shared" si="3"/>
        <v/>
      </c>
    </row>
    <row r="169">
      <c r="A169" s="2"/>
      <c r="B169" s="7"/>
      <c r="D169" s="5" t="str">
        <f>IF(A169 = "", "", COUNTIFS('Game Record'!G:G, A169, 'Game Record'!E:E, C169))</f>
        <v/>
      </c>
      <c r="E169" s="6" t="str">
        <f>IF(A169 = "", "", COUNTIFS('Game Record'!H:H, A169, 'Game Record'!E:E, C169))</f>
        <v/>
      </c>
      <c r="F169" s="2">
        <f t="shared" si="1"/>
        <v>0</v>
      </c>
      <c r="G169" s="1" t="str">
        <f>IF(A169 = "", "", COUNTIF('Game Record'!G:G, A169))</f>
        <v/>
      </c>
      <c r="H169" s="6" t="str">
        <f>IF(A169 = "", "", COUNTIF('Game Record'!H:H, A169))</f>
        <v/>
      </c>
      <c r="I169" s="2">
        <f>IFERROR(__xludf.DUMMYFUNCTION("SUM(FILTER(TeamARecordSet, INDEX(TeamARecordSet, 0, 1) = A169)) + SUM(FILTER(TeamBRecordSet, INDEX(TeamBRecordSet, 0, 1) = A169))"),0.0)</f>
        <v>0</v>
      </c>
      <c r="J169" s="2">
        <f t="shared" si="2"/>
        <v>0</v>
      </c>
      <c r="K169" s="2" t="str">
        <f t="shared" si="3"/>
        <v/>
      </c>
    </row>
    <row r="170">
      <c r="A170" s="2"/>
      <c r="B170" s="7"/>
      <c r="D170" s="5" t="str">
        <f>IF(A170 = "", "", COUNTIFS('Game Record'!G:G, A170, 'Game Record'!E:E, C170))</f>
        <v/>
      </c>
      <c r="E170" s="6" t="str">
        <f>IF(A170 = "", "", COUNTIFS('Game Record'!H:H, A170, 'Game Record'!E:E, C170))</f>
        <v/>
      </c>
      <c r="F170" s="2">
        <f t="shared" si="1"/>
        <v>0</v>
      </c>
      <c r="G170" s="1" t="str">
        <f>IF(A170 = "", "", COUNTIF('Game Record'!G:G, A170))</f>
        <v/>
      </c>
      <c r="H170" s="6" t="str">
        <f>IF(A170 = "", "", COUNTIF('Game Record'!H:H, A170))</f>
        <v/>
      </c>
      <c r="I170" s="2">
        <f>IFERROR(__xludf.DUMMYFUNCTION("SUM(FILTER(TeamARecordSet, INDEX(TeamARecordSet, 0, 1) = A170)) + SUM(FILTER(TeamBRecordSet, INDEX(TeamBRecordSet, 0, 1) = A170))"),0.0)</f>
        <v>0</v>
      </c>
      <c r="J170" s="2">
        <f t="shared" si="2"/>
        <v>0</v>
      </c>
      <c r="K170" s="2" t="str">
        <f t="shared" si="3"/>
        <v/>
      </c>
    </row>
    <row r="171">
      <c r="A171" s="2"/>
      <c r="B171" s="7"/>
      <c r="D171" s="5" t="str">
        <f>IF(A171 = "", "", COUNTIFS('Game Record'!G:G, A171, 'Game Record'!E:E, C171))</f>
        <v/>
      </c>
      <c r="E171" s="6" t="str">
        <f>IF(A171 = "", "", COUNTIFS('Game Record'!H:H, A171, 'Game Record'!E:E, C171))</f>
        <v/>
      </c>
      <c r="F171" s="2">
        <f t="shared" si="1"/>
        <v>0</v>
      </c>
      <c r="G171" s="1" t="str">
        <f>IF(A171 = "", "", COUNTIF('Game Record'!G:G, A171))</f>
        <v/>
      </c>
      <c r="H171" s="6" t="str">
        <f>IF(A171 = "", "", COUNTIF('Game Record'!H:H, A171))</f>
        <v/>
      </c>
      <c r="I171" s="2">
        <f>IFERROR(__xludf.DUMMYFUNCTION("SUM(FILTER(TeamARecordSet, INDEX(TeamARecordSet, 0, 1) = A171)) + SUM(FILTER(TeamBRecordSet, INDEX(TeamBRecordSet, 0, 1) = A171))"),0.0)</f>
        <v>0</v>
      </c>
      <c r="J171" s="2">
        <f t="shared" si="2"/>
        <v>0</v>
      </c>
      <c r="K171" s="2" t="str">
        <f t="shared" si="3"/>
        <v/>
      </c>
    </row>
    <row r="172">
      <c r="A172" s="2"/>
      <c r="B172" s="7"/>
      <c r="D172" s="5" t="str">
        <f>IF(A172 = "", "", COUNTIFS('Game Record'!G:G, A172, 'Game Record'!E:E, C172))</f>
        <v/>
      </c>
      <c r="E172" s="6" t="str">
        <f>IF(A172 = "", "", COUNTIFS('Game Record'!H:H, A172, 'Game Record'!E:E, C172))</f>
        <v/>
      </c>
      <c r="F172" s="2">
        <f t="shared" si="1"/>
        <v>0</v>
      </c>
      <c r="G172" s="1" t="str">
        <f>IF(A172 = "", "", COUNTIF('Game Record'!G:G, A172))</f>
        <v/>
      </c>
      <c r="H172" s="6" t="str">
        <f>IF(A172 = "", "", COUNTIF('Game Record'!H:H, A172))</f>
        <v/>
      </c>
      <c r="I172" s="2">
        <f>IFERROR(__xludf.DUMMYFUNCTION("SUM(FILTER(TeamARecordSet, INDEX(TeamARecordSet, 0, 1) = A172)) + SUM(FILTER(TeamBRecordSet, INDEX(TeamBRecordSet, 0, 1) = A172))"),0.0)</f>
        <v>0</v>
      </c>
      <c r="J172" s="2">
        <f t="shared" si="2"/>
        <v>0</v>
      </c>
      <c r="K172" s="2" t="str">
        <f t="shared" si="3"/>
        <v/>
      </c>
    </row>
    <row r="173">
      <c r="A173" s="2"/>
      <c r="B173" s="7"/>
      <c r="D173" s="5" t="str">
        <f>IF(A173 = "", "", COUNTIFS('Game Record'!G:G, A173, 'Game Record'!E:E, C173))</f>
        <v/>
      </c>
      <c r="E173" s="6" t="str">
        <f>IF(A173 = "", "", COUNTIFS('Game Record'!H:H, A173, 'Game Record'!E:E, C173))</f>
        <v/>
      </c>
      <c r="F173" s="2">
        <f t="shared" si="1"/>
        <v>0</v>
      </c>
      <c r="G173" s="1" t="str">
        <f>IF(A173 = "", "", COUNTIF('Game Record'!G:G, A173))</f>
        <v/>
      </c>
      <c r="H173" s="6" t="str">
        <f>IF(A173 = "", "", COUNTIF('Game Record'!H:H, A173))</f>
        <v/>
      </c>
      <c r="I173" s="2">
        <f>IFERROR(__xludf.DUMMYFUNCTION("SUM(FILTER(TeamARecordSet, INDEX(TeamARecordSet, 0, 1) = A173)) + SUM(FILTER(TeamBRecordSet, INDEX(TeamBRecordSet, 0, 1) = A173))"),0.0)</f>
        <v>0</v>
      </c>
      <c r="J173" s="2">
        <f t="shared" si="2"/>
        <v>0</v>
      </c>
      <c r="K173" s="2" t="str">
        <f t="shared" si="3"/>
        <v/>
      </c>
    </row>
    <row r="174">
      <c r="A174" s="2"/>
      <c r="B174" s="7"/>
      <c r="D174" s="5" t="str">
        <f>IF(A174 = "", "", COUNTIFS('Game Record'!G:G, A174, 'Game Record'!E:E, C174))</f>
        <v/>
      </c>
      <c r="E174" s="6" t="str">
        <f>IF(A174 = "", "", COUNTIFS('Game Record'!H:H, A174, 'Game Record'!E:E, C174))</f>
        <v/>
      </c>
      <c r="F174" s="2">
        <f t="shared" si="1"/>
        <v>0</v>
      </c>
      <c r="G174" s="1" t="str">
        <f>IF(A174 = "", "", COUNTIF('Game Record'!G:G, A174))</f>
        <v/>
      </c>
      <c r="H174" s="6" t="str">
        <f>IF(A174 = "", "", COUNTIF('Game Record'!H:H, A174))</f>
        <v/>
      </c>
      <c r="I174" s="2">
        <f>IFERROR(__xludf.DUMMYFUNCTION("SUM(FILTER(TeamARecordSet, INDEX(TeamARecordSet, 0, 1) = A174)) + SUM(FILTER(TeamBRecordSet, INDEX(TeamBRecordSet, 0, 1) = A174))"),0.0)</f>
        <v>0</v>
      </c>
      <c r="J174" s="2">
        <f t="shared" si="2"/>
        <v>0</v>
      </c>
      <c r="K174" s="2" t="str">
        <f t="shared" si="3"/>
        <v/>
      </c>
    </row>
    <row r="175">
      <c r="A175" s="2"/>
      <c r="B175" s="7"/>
      <c r="D175" s="5" t="str">
        <f>IF(A175 = "", "", COUNTIFS('Game Record'!G:G, A175, 'Game Record'!E:E, C175))</f>
        <v/>
      </c>
      <c r="E175" s="6" t="str">
        <f>IF(A175 = "", "", COUNTIFS('Game Record'!H:H, A175, 'Game Record'!E:E, C175))</f>
        <v/>
      </c>
      <c r="F175" s="2">
        <f t="shared" si="1"/>
        <v>0</v>
      </c>
      <c r="G175" s="1" t="str">
        <f>IF(A175 = "", "", COUNTIF('Game Record'!G:G, A175))</f>
        <v/>
      </c>
      <c r="H175" s="6" t="str">
        <f>IF(A175 = "", "", COUNTIF('Game Record'!H:H, A175))</f>
        <v/>
      </c>
      <c r="I175" s="2">
        <f>IFERROR(__xludf.DUMMYFUNCTION("SUM(FILTER(TeamARecordSet, INDEX(TeamARecordSet, 0, 1) = A175)) + SUM(FILTER(TeamBRecordSet, INDEX(TeamBRecordSet, 0, 1) = A175))"),0.0)</f>
        <v>0</v>
      </c>
      <c r="J175" s="2">
        <f t="shared" si="2"/>
        <v>0</v>
      </c>
      <c r="K175" s="2" t="str">
        <f t="shared" si="3"/>
        <v/>
      </c>
    </row>
    <row r="176">
      <c r="A176" s="2"/>
      <c r="B176" s="7"/>
      <c r="D176" s="5" t="str">
        <f>IF(A176 = "", "", COUNTIFS('Game Record'!G:G, A176, 'Game Record'!E:E, C176))</f>
        <v/>
      </c>
      <c r="E176" s="6" t="str">
        <f>IF(A176 = "", "", COUNTIFS('Game Record'!H:H, A176, 'Game Record'!E:E, C176))</f>
        <v/>
      </c>
      <c r="F176" s="2">
        <f t="shared" si="1"/>
        <v>0</v>
      </c>
      <c r="G176" s="1" t="str">
        <f>IF(A176 = "", "", COUNTIF('Game Record'!G:G, A176))</f>
        <v/>
      </c>
      <c r="H176" s="6" t="str">
        <f>IF(A176 = "", "", COUNTIF('Game Record'!H:H, A176))</f>
        <v/>
      </c>
      <c r="I176" s="2">
        <f>IFERROR(__xludf.DUMMYFUNCTION("SUM(FILTER(TeamARecordSet, INDEX(TeamARecordSet, 0, 1) = A176)) + SUM(FILTER(TeamBRecordSet, INDEX(TeamBRecordSet, 0, 1) = A176))"),0.0)</f>
        <v>0</v>
      </c>
      <c r="J176" s="2">
        <f t="shared" si="2"/>
        <v>0</v>
      </c>
      <c r="K176" s="2" t="str">
        <f t="shared" si="3"/>
        <v/>
      </c>
    </row>
    <row r="177">
      <c r="A177" s="2"/>
      <c r="B177" s="7"/>
      <c r="D177" s="5" t="str">
        <f>IF(A177 = "", "", COUNTIFS('Game Record'!G:G, A177, 'Game Record'!E:E, C177))</f>
        <v/>
      </c>
      <c r="E177" s="6" t="str">
        <f>IF(A177 = "", "", COUNTIFS('Game Record'!H:H, A177, 'Game Record'!E:E, C177))</f>
        <v/>
      </c>
      <c r="F177" s="2">
        <f t="shared" si="1"/>
        <v>0</v>
      </c>
      <c r="G177" s="1" t="str">
        <f>IF(A177 = "", "", COUNTIF('Game Record'!G:G, A177))</f>
        <v/>
      </c>
      <c r="H177" s="6" t="str">
        <f>IF(A177 = "", "", COUNTIF('Game Record'!H:H, A177))</f>
        <v/>
      </c>
      <c r="I177" s="2">
        <f>IFERROR(__xludf.DUMMYFUNCTION("SUM(FILTER(TeamARecordSet, INDEX(TeamARecordSet, 0, 1) = A177)) + SUM(FILTER(TeamBRecordSet, INDEX(TeamBRecordSet, 0, 1) = A177))"),0.0)</f>
        <v>0</v>
      </c>
      <c r="J177" s="2">
        <f t="shared" si="2"/>
        <v>0</v>
      </c>
      <c r="K177" s="2" t="str">
        <f t="shared" si="3"/>
        <v/>
      </c>
    </row>
    <row r="178">
      <c r="A178" s="2"/>
      <c r="B178" s="7"/>
      <c r="D178" s="5" t="str">
        <f>IF(A178 = "", "", COUNTIFS('Game Record'!G:G, A178, 'Game Record'!E:E, C178))</f>
        <v/>
      </c>
      <c r="E178" s="6" t="str">
        <f>IF(A178 = "", "", COUNTIFS('Game Record'!H:H, A178, 'Game Record'!E:E, C178))</f>
        <v/>
      </c>
      <c r="F178" s="2">
        <f t="shared" si="1"/>
        <v>0</v>
      </c>
      <c r="G178" s="1" t="str">
        <f>IF(A178 = "", "", COUNTIF('Game Record'!G:G, A178))</f>
        <v/>
      </c>
      <c r="H178" s="6" t="str">
        <f>IF(A178 = "", "", COUNTIF('Game Record'!H:H, A178))</f>
        <v/>
      </c>
      <c r="I178" s="2">
        <f>IFERROR(__xludf.DUMMYFUNCTION("SUM(FILTER(TeamARecordSet, INDEX(TeamARecordSet, 0, 1) = A178)) + SUM(FILTER(TeamBRecordSet, INDEX(TeamBRecordSet, 0, 1) = A178))"),0.0)</f>
        <v>0</v>
      </c>
      <c r="J178" s="2">
        <f t="shared" si="2"/>
        <v>0</v>
      </c>
      <c r="K178" s="2" t="str">
        <f t="shared" si="3"/>
        <v/>
      </c>
    </row>
    <row r="179">
      <c r="A179" s="2"/>
      <c r="B179" s="7"/>
      <c r="D179" s="5" t="str">
        <f>IF(A179 = "", "", COUNTIFS('Game Record'!G:G, A179, 'Game Record'!E:E, C179))</f>
        <v/>
      </c>
      <c r="E179" s="6" t="str">
        <f>IF(A179 = "", "", COUNTIFS('Game Record'!H:H, A179, 'Game Record'!E:E, C179))</f>
        <v/>
      </c>
      <c r="F179" s="2">
        <f t="shared" si="1"/>
        <v>0</v>
      </c>
      <c r="G179" s="1" t="str">
        <f>IF(A179 = "", "", COUNTIF('Game Record'!G:G, A179))</f>
        <v/>
      </c>
      <c r="H179" s="6" t="str">
        <f>IF(A179 = "", "", COUNTIF('Game Record'!H:H, A179))</f>
        <v/>
      </c>
      <c r="I179" s="2">
        <f>IFERROR(__xludf.DUMMYFUNCTION("SUM(FILTER(TeamARecordSet, INDEX(TeamARecordSet, 0, 1) = A179)) + SUM(FILTER(TeamBRecordSet, INDEX(TeamBRecordSet, 0, 1) = A179))"),0.0)</f>
        <v>0</v>
      </c>
      <c r="J179" s="2">
        <f t="shared" si="2"/>
        <v>0</v>
      </c>
      <c r="K179" s="2" t="str">
        <f t="shared" si="3"/>
        <v/>
      </c>
    </row>
    <row r="180">
      <c r="A180" s="2"/>
      <c r="B180" s="7"/>
      <c r="D180" s="5" t="str">
        <f>IF(A180 = "", "", COUNTIFS('Game Record'!G:G, A180, 'Game Record'!E:E, C180))</f>
        <v/>
      </c>
      <c r="E180" s="6" t="str">
        <f>IF(A180 = "", "", COUNTIFS('Game Record'!H:H, A180, 'Game Record'!E:E, C180))</f>
        <v/>
      </c>
      <c r="F180" s="2">
        <f t="shared" si="1"/>
        <v>0</v>
      </c>
      <c r="G180" s="1" t="str">
        <f>IF(A180 = "", "", COUNTIF('Game Record'!G:G, A180))</f>
        <v/>
      </c>
      <c r="H180" s="6" t="str">
        <f>IF(A180 = "", "", COUNTIF('Game Record'!H:H, A180))</f>
        <v/>
      </c>
      <c r="I180" s="2">
        <f>IFERROR(__xludf.DUMMYFUNCTION("SUM(FILTER(TeamARecordSet, INDEX(TeamARecordSet, 0, 1) = A180)) + SUM(FILTER(TeamBRecordSet, INDEX(TeamBRecordSet, 0, 1) = A180))"),0.0)</f>
        <v>0</v>
      </c>
      <c r="J180" s="2">
        <f t="shared" si="2"/>
        <v>0</v>
      </c>
      <c r="K180" s="2" t="str">
        <f t="shared" si="3"/>
        <v/>
      </c>
    </row>
    <row r="181">
      <c r="A181" s="2"/>
      <c r="B181" s="7"/>
      <c r="D181" s="5" t="str">
        <f>IF(A181 = "", "", COUNTIFS('Game Record'!G:G, A181, 'Game Record'!E:E, C181))</f>
        <v/>
      </c>
      <c r="E181" s="6" t="str">
        <f>IF(A181 = "", "", COUNTIFS('Game Record'!H:H, A181, 'Game Record'!E:E, C181))</f>
        <v/>
      </c>
      <c r="F181" s="2">
        <f t="shared" si="1"/>
        <v>0</v>
      </c>
      <c r="G181" s="1" t="str">
        <f>IF(A181 = "", "", COUNTIF('Game Record'!G:G, A181))</f>
        <v/>
      </c>
      <c r="H181" s="6" t="str">
        <f>IF(A181 = "", "", COUNTIF('Game Record'!H:H, A181))</f>
        <v/>
      </c>
      <c r="I181" s="2">
        <f>IFERROR(__xludf.DUMMYFUNCTION("SUM(FILTER(TeamARecordSet, INDEX(TeamARecordSet, 0, 1) = A181)) + SUM(FILTER(TeamBRecordSet, INDEX(TeamBRecordSet, 0, 1) = A181))"),0.0)</f>
        <v>0</v>
      </c>
      <c r="J181" s="2">
        <f t="shared" si="2"/>
        <v>0</v>
      </c>
      <c r="K181" s="2" t="str">
        <f t="shared" si="3"/>
        <v/>
      </c>
    </row>
    <row r="182">
      <c r="A182" s="2"/>
      <c r="B182" s="7"/>
      <c r="D182" s="5" t="str">
        <f>IF(A182 = "", "", COUNTIFS('Game Record'!G:G, A182, 'Game Record'!E:E, C182))</f>
        <v/>
      </c>
      <c r="E182" s="6" t="str">
        <f>IF(A182 = "", "", COUNTIFS('Game Record'!H:H, A182, 'Game Record'!E:E, C182))</f>
        <v/>
      </c>
      <c r="F182" s="2">
        <f t="shared" si="1"/>
        <v>0</v>
      </c>
      <c r="G182" s="1" t="str">
        <f>IF(A182 = "", "", COUNTIF('Game Record'!G:G, A182))</f>
        <v/>
      </c>
      <c r="H182" s="6" t="str">
        <f>IF(A182 = "", "", COUNTIF('Game Record'!H:H, A182))</f>
        <v/>
      </c>
      <c r="I182" s="2">
        <f>IFERROR(__xludf.DUMMYFUNCTION("SUM(FILTER(TeamARecordSet, INDEX(TeamARecordSet, 0, 1) = A182)) + SUM(FILTER(TeamBRecordSet, INDEX(TeamBRecordSet, 0, 1) = A182))"),0.0)</f>
        <v>0</v>
      </c>
      <c r="J182" s="2">
        <f t="shared" si="2"/>
        <v>0</v>
      </c>
      <c r="K182" s="2" t="str">
        <f t="shared" si="3"/>
        <v/>
      </c>
    </row>
    <row r="183">
      <c r="A183" s="2"/>
      <c r="B183" s="7"/>
      <c r="D183" s="5" t="str">
        <f>IF(A183 = "", "", COUNTIFS('Game Record'!G:G, A183, 'Game Record'!E:E, C183))</f>
        <v/>
      </c>
      <c r="E183" s="6" t="str">
        <f>IF(A183 = "", "", COUNTIFS('Game Record'!H:H, A183, 'Game Record'!E:E, C183))</f>
        <v/>
      </c>
      <c r="F183" s="2">
        <f t="shared" si="1"/>
        <v>0</v>
      </c>
      <c r="G183" s="1" t="str">
        <f>IF(A183 = "", "", COUNTIF('Game Record'!G:G, A183))</f>
        <v/>
      </c>
      <c r="H183" s="6" t="str">
        <f>IF(A183 = "", "", COUNTIF('Game Record'!H:H, A183))</f>
        <v/>
      </c>
      <c r="I183" s="2">
        <f>IFERROR(__xludf.DUMMYFUNCTION("SUM(FILTER(TeamARecordSet, INDEX(TeamARecordSet, 0, 1) = A183)) + SUM(FILTER(TeamBRecordSet, INDEX(TeamBRecordSet, 0, 1) = A183))"),0.0)</f>
        <v>0</v>
      </c>
      <c r="J183" s="2">
        <f t="shared" si="2"/>
        <v>0</v>
      </c>
      <c r="K183" s="2" t="str">
        <f t="shared" si="3"/>
        <v/>
      </c>
    </row>
    <row r="184">
      <c r="A184" s="2"/>
      <c r="B184" s="7"/>
      <c r="D184" s="5" t="str">
        <f>IF(A184 = "", "", COUNTIFS('Game Record'!G:G, A184, 'Game Record'!E:E, C184))</f>
        <v/>
      </c>
      <c r="E184" s="6" t="str">
        <f>IF(A184 = "", "", COUNTIFS('Game Record'!H:H, A184, 'Game Record'!E:E, C184))</f>
        <v/>
      </c>
      <c r="F184" s="2">
        <f t="shared" si="1"/>
        <v>0</v>
      </c>
      <c r="G184" s="1" t="str">
        <f>IF(A184 = "", "", COUNTIF('Game Record'!G:G, A184))</f>
        <v/>
      </c>
      <c r="H184" s="6" t="str">
        <f>IF(A184 = "", "", COUNTIF('Game Record'!H:H, A184))</f>
        <v/>
      </c>
      <c r="I184" s="2">
        <f>IFERROR(__xludf.DUMMYFUNCTION("SUM(FILTER(TeamARecordSet, INDEX(TeamARecordSet, 0, 1) = A184)) + SUM(FILTER(TeamBRecordSet, INDEX(TeamBRecordSet, 0, 1) = A184))"),0.0)</f>
        <v>0</v>
      </c>
      <c r="J184" s="2">
        <f t="shared" si="2"/>
        <v>0</v>
      </c>
      <c r="K184" s="2" t="str">
        <f t="shared" si="3"/>
        <v/>
      </c>
    </row>
    <row r="185">
      <c r="A185" s="2"/>
      <c r="B185" s="7"/>
      <c r="D185" s="5" t="str">
        <f>IF(A185 = "", "", COUNTIFS('Game Record'!G:G, A185, 'Game Record'!E:E, C185))</f>
        <v/>
      </c>
      <c r="E185" s="6" t="str">
        <f>IF(A185 = "", "", COUNTIFS('Game Record'!H:H, A185, 'Game Record'!E:E, C185))</f>
        <v/>
      </c>
      <c r="F185" s="2">
        <f t="shared" si="1"/>
        <v>0</v>
      </c>
      <c r="G185" s="1" t="str">
        <f>IF(A185 = "", "", COUNTIF('Game Record'!G:G, A185))</f>
        <v/>
      </c>
      <c r="H185" s="6" t="str">
        <f>IF(A185 = "", "", COUNTIF('Game Record'!H:H, A185))</f>
        <v/>
      </c>
      <c r="I185" s="2">
        <f>IFERROR(__xludf.DUMMYFUNCTION("SUM(FILTER(TeamARecordSet, INDEX(TeamARecordSet, 0, 1) = A185)) + SUM(FILTER(TeamBRecordSet, INDEX(TeamBRecordSet, 0, 1) = A185))"),0.0)</f>
        <v>0</v>
      </c>
      <c r="J185" s="2">
        <f t="shared" si="2"/>
        <v>0</v>
      </c>
      <c r="K185" s="2" t="str">
        <f t="shared" si="3"/>
        <v/>
      </c>
    </row>
    <row r="186">
      <c r="A186" s="2"/>
      <c r="B186" s="7"/>
      <c r="D186" s="5" t="str">
        <f>IF(A186 = "", "", COUNTIFS('Game Record'!G:G, A186, 'Game Record'!E:E, C186))</f>
        <v/>
      </c>
      <c r="E186" s="6" t="str">
        <f>IF(A186 = "", "", COUNTIFS('Game Record'!H:H, A186, 'Game Record'!E:E, C186))</f>
        <v/>
      </c>
      <c r="F186" s="2">
        <f t="shared" si="1"/>
        <v>0</v>
      </c>
      <c r="G186" s="1" t="str">
        <f>IF(A186 = "", "", COUNTIF('Game Record'!G:G, A186))</f>
        <v/>
      </c>
      <c r="H186" s="6" t="str">
        <f>IF(A186 = "", "", COUNTIF('Game Record'!H:H, A186))</f>
        <v/>
      </c>
      <c r="I186" s="2">
        <f>IFERROR(__xludf.DUMMYFUNCTION("SUM(FILTER(TeamARecordSet, INDEX(TeamARecordSet, 0, 1) = A186)) + SUM(FILTER(TeamBRecordSet, INDEX(TeamBRecordSet, 0, 1) = A186))"),0.0)</f>
        <v>0</v>
      </c>
      <c r="J186" s="2">
        <f t="shared" si="2"/>
        <v>0</v>
      </c>
      <c r="K186" s="2" t="str">
        <f t="shared" si="3"/>
        <v/>
      </c>
    </row>
    <row r="187">
      <c r="A187" s="2"/>
      <c r="B187" s="7"/>
      <c r="D187" s="5" t="str">
        <f>IF(A187 = "", "", COUNTIFS('Game Record'!G:G, A187, 'Game Record'!E:E, C187))</f>
        <v/>
      </c>
      <c r="E187" s="6" t="str">
        <f>IF(A187 = "", "", COUNTIFS('Game Record'!H:H, A187, 'Game Record'!E:E, C187))</f>
        <v/>
      </c>
      <c r="F187" s="2">
        <f t="shared" si="1"/>
        <v>0</v>
      </c>
      <c r="G187" s="1" t="str">
        <f>IF(A187 = "", "", COUNTIF('Game Record'!G:G, A187))</f>
        <v/>
      </c>
      <c r="H187" s="6" t="str">
        <f>IF(A187 = "", "", COUNTIF('Game Record'!H:H, A187))</f>
        <v/>
      </c>
      <c r="I187" s="2">
        <f>IFERROR(__xludf.DUMMYFUNCTION("SUM(FILTER(TeamARecordSet, INDEX(TeamARecordSet, 0, 1) = A187)) + SUM(FILTER(TeamBRecordSet, INDEX(TeamBRecordSet, 0, 1) = A187))"),0.0)</f>
        <v>0</v>
      </c>
      <c r="J187" s="2">
        <f t="shared" si="2"/>
        <v>0</v>
      </c>
      <c r="K187" s="2" t="str">
        <f t="shared" si="3"/>
        <v/>
      </c>
    </row>
    <row r="188">
      <c r="A188" s="2"/>
      <c r="B188" s="7"/>
      <c r="D188" s="5" t="str">
        <f>IF(A188 = "", "", COUNTIFS('Game Record'!G:G, A188, 'Game Record'!E:E, C188))</f>
        <v/>
      </c>
      <c r="E188" s="6" t="str">
        <f>IF(A188 = "", "", COUNTIFS('Game Record'!H:H, A188, 'Game Record'!E:E, C188))</f>
        <v/>
      </c>
      <c r="F188" s="2">
        <f t="shared" si="1"/>
        <v>0</v>
      </c>
      <c r="G188" s="1" t="str">
        <f>IF(A188 = "", "", COUNTIF('Game Record'!G:G, A188))</f>
        <v/>
      </c>
      <c r="H188" s="6" t="str">
        <f>IF(A188 = "", "", COUNTIF('Game Record'!H:H, A188))</f>
        <v/>
      </c>
      <c r="I188" s="2">
        <f>IFERROR(__xludf.DUMMYFUNCTION("SUM(FILTER(TeamARecordSet, INDEX(TeamARecordSet, 0, 1) = A188)) + SUM(FILTER(TeamBRecordSet, INDEX(TeamBRecordSet, 0, 1) = A188))"),0.0)</f>
        <v>0</v>
      </c>
      <c r="J188" s="2">
        <f t="shared" si="2"/>
        <v>0</v>
      </c>
      <c r="K188" s="2" t="str">
        <f t="shared" si="3"/>
        <v/>
      </c>
    </row>
    <row r="189">
      <c r="A189" s="2"/>
      <c r="B189" s="7"/>
      <c r="D189" s="5" t="str">
        <f>IF(A189 = "", "", COUNTIFS('Game Record'!G:G, A189, 'Game Record'!E:E, C189))</f>
        <v/>
      </c>
      <c r="E189" s="6" t="str">
        <f>IF(A189 = "", "", COUNTIFS('Game Record'!H:H, A189, 'Game Record'!E:E, C189))</f>
        <v/>
      </c>
      <c r="F189" s="2">
        <f t="shared" si="1"/>
        <v>0</v>
      </c>
      <c r="G189" s="1" t="str">
        <f>IF(A189 = "", "", COUNTIF('Game Record'!G:G, A189))</f>
        <v/>
      </c>
      <c r="H189" s="6" t="str">
        <f>IF(A189 = "", "", COUNTIF('Game Record'!H:H, A189))</f>
        <v/>
      </c>
      <c r="I189" s="2">
        <f>IFERROR(__xludf.DUMMYFUNCTION("SUM(FILTER(TeamARecordSet, INDEX(TeamARecordSet, 0, 1) = A189)) + SUM(FILTER(TeamBRecordSet, INDEX(TeamBRecordSet, 0, 1) = A189))"),0.0)</f>
        <v>0</v>
      </c>
      <c r="J189" s="2">
        <f t="shared" si="2"/>
        <v>0</v>
      </c>
      <c r="K189" s="2" t="str">
        <f t="shared" si="3"/>
        <v/>
      </c>
    </row>
    <row r="190">
      <c r="A190" s="2"/>
      <c r="B190" s="7"/>
      <c r="D190" s="5" t="str">
        <f>IF(A190 = "", "", COUNTIFS('Game Record'!G:G, A190, 'Game Record'!E:E, C190))</f>
        <v/>
      </c>
      <c r="E190" s="6" t="str">
        <f>IF(A190 = "", "", COUNTIFS('Game Record'!H:H, A190, 'Game Record'!E:E, C190))</f>
        <v/>
      </c>
      <c r="F190" s="2">
        <f t="shared" si="1"/>
        <v>0</v>
      </c>
      <c r="G190" s="1" t="str">
        <f>IF(A190 = "", "", COUNTIF('Game Record'!G:G, A190))</f>
        <v/>
      </c>
      <c r="H190" s="6" t="str">
        <f>IF(A190 = "", "", COUNTIF('Game Record'!H:H, A190))</f>
        <v/>
      </c>
      <c r="I190" s="2">
        <f>IFERROR(__xludf.DUMMYFUNCTION("SUM(FILTER(TeamARecordSet, INDEX(TeamARecordSet, 0, 1) = A190)) + SUM(FILTER(TeamBRecordSet, INDEX(TeamBRecordSet, 0, 1) = A190))"),0.0)</f>
        <v>0</v>
      </c>
      <c r="J190" s="2">
        <f t="shared" si="2"/>
        <v>0</v>
      </c>
      <c r="K190" s="2" t="str">
        <f t="shared" si="3"/>
        <v/>
      </c>
    </row>
    <row r="191">
      <c r="A191" s="2"/>
      <c r="B191" s="7"/>
      <c r="D191" s="5" t="str">
        <f>IF(A191 = "", "", COUNTIFS('Game Record'!G:G, A191, 'Game Record'!E:E, C191))</f>
        <v/>
      </c>
      <c r="E191" s="6" t="str">
        <f>IF(A191 = "", "", COUNTIFS('Game Record'!H:H, A191, 'Game Record'!E:E, C191))</f>
        <v/>
      </c>
      <c r="F191" s="2">
        <f t="shared" si="1"/>
        <v>0</v>
      </c>
      <c r="G191" s="1" t="str">
        <f>IF(A191 = "", "", COUNTIF('Game Record'!G:G, A191))</f>
        <v/>
      </c>
      <c r="H191" s="6" t="str">
        <f>IF(A191 = "", "", COUNTIF('Game Record'!H:H, A191))</f>
        <v/>
      </c>
      <c r="I191" s="2">
        <f>IFERROR(__xludf.DUMMYFUNCTION("SUM(FILTER(TeamARecordSet, INDEX(TeamARecordSet, 0, 1) = A191)) + SUM(FILTER(TeamBRecordSet, INDEX(TeamBRecordSet, 0, 1) = A191))"),0.0)</f>
        <v>0</v>
      </c>
      <c r="J191" s="2">
        <f t="shared" si="2"/>
        <v>0</v>
      </c>
      <c r="K191" s="2" t="str">
        <f t="shared" si="3"/>
        <v/>
      </c>
    </row>
    <row r="192">
      <c r="A192" s="2"/>
      <c r="B192" s="7"/>
      <c r="D192" s="5" t="str">
        <f>IF(A192 = "", "", COUNTIFS('Game Record'!G:G, A192, 'Game Record'!E:E, C192))</f>
        <v/>
      </c>
      <c r="E192" s="6" t="str">
        <f>IF(A192 = "", "", COUNTIFS('Game Record'!H:H, A192, 'Game Record'!E:E, C192))</f>
        <v/>
      </c>
      <c r="F192" s="2">
        <f t="shared" si="1"/>
        <v>0</v>
      </c>
      <c r="G192" s="1" t="str">
        <f>IF(A192 = "", "", COUNTIF('Game Record'!G:G, A192))</f>
        <v/>
      </c>
      <c r="H192" s="6" t="str">
        <f>IF(A192 = "", "", COUNTIF('Game Record'!H:H, A192))</f>
        <v/>
      </c>
      <c r="I192" s="2">
        <f>IFERROR(__xludf.DUMMYFUNCTION("SUM(FILTER(TeamARecordSet, INDEX(TeamARecordSet, 0, 1) = A192)) + SUM(FILTER(TeamBRecordSet, INDEX(TeamBRecordSet, 0, 1) = A192))"),0.0)</f>
        <v>0</v>
      </c>
      <c r="J192" s="2">
        <f t="shared" si="2"/>
        <v>0</v>
      </c>
      <c r="K192" s="2" t="str">
        <f t="shared" si="3"/>
        <v/>
      </c>
    </row>
    <row r="193">
      <c r="A193" s="2"/>
      <c r="B193" s="7"/>
      <c r="D193" s="5" t="str">
        <f>IF(A193 = "", "", COUNTIFS('Game Record'!G:G, A193, 'Game Record'!E:E, C193))</f>
        <v/>
      </c>
      <c r="E193" s="6" t="str">
        <f>IF(A193 = "", "", COUNTIFS('Game Record'!H:H, A193, 'Game Record'!E:E, C193))</f>
        <v/>
      </c>
      <c r="F193" s="2">
        <f t="shared" si="1"/>
        <v>0</v>
      </c>
      <c r="G193" s="1" t="str">
        <f>IF(A193 = "", "", COUNTIF('Game Record'!G:G, A193))</f>
        <v/>
      </c>
      <c r="H193" s="6" t="str">
        <f>IF(A193 = "", "", COUNTIF('Game Record'!H:H, A193))</f>
        <v/>
      </c>
      <c r="I193" s="2">
        <f>IFERROR(__xludf.DUMMYFUNCTION("SUM(FILTER(TeamARecordSet, INDEX(TeamARecordSet, 0, 1) = A193)) + SUM(FILTER(TeamBRecordSet, INDEX(TeamBRecordSet, 0, 1) = A193))"),0.0)</f>
        <v>0</v>
      </c>
      <c r="J193" s="2">
        <f t="shared" si="2"/>
        <v>0</v>
      </c>
      <c r="K193" s="2" t="str">
        <f t="shared" si="3"/>
        <v/>
      </c>
    </row>
    <row r="194">
      <c r="A194" s="2"/>
      <c r="B194" s="7"/>
      <c r="D194" s="5" t="str">
        <f>IF(A194 = "", "", COUNTIFS('Game Record'!G:G, A194, 'Game Record'!E:E, C194))</f>
        <v/>
      </c>
      <c r="E194" s="6" t="str">
        <f>IF(A194 = "", "", COUNTIFS('Game Record'!H:H, A194, 'Game Record'!E:E, C194))</f>
        <v/>
      </c>
      <c r="F194" s="2">
        <f t="shared" si="1"/>
        <v>0</v>
      </c>
      <c r="G194" s="1" t="str">
        <f>IF(A194 = "", "", COUNTIF('Game Record'!G:G, A194))</f>
        <v/>
      </c>
      <c r="H194" s="6" t="str">
        <f>IF(A194 = "", "", COUNTIF('Game Record'!H:H, A194))</f>
        <v/>
      </c>
      <c r="I194" s="2">
        <f>IFERROR(__xludf.DUMMYFUNCTION("SUM(FILTER(TeamARecordSet, INDEX(TeamARecordSet, 0, 1) = A194)) + SUM(FILTER(TeamBRecordSet, INDEX(TeamBRecordSet, 0, 1) = A194))"),0.0)</f>
        <v>0</v>
      </c>
      <c r="J194" s="2">
        <f t="shared" si="2"/>
        <v>0</v>
      </c>
      <c r="K194" s="2" t="str">
        <f t="shared" si="3"/>
        <v/>
      </c>
    </row>
    <row r="195">
      <c r="A195" s="2"/>
      <c r="B195" s="7"/>
      <c r="D195" s="5" t="str">
        <f>IF(A195 = "", "", COUNTIFS('Game Record'!G:G, A195, 'Game Record'!E:E, C195))</f>
        <v/>
      </c>
      <c r="E195" s="6" t="str">
        <f>IF(A195 = "", "", COUNTIFS('Game Record'!H:H, A195, 'Game Record'!E:E, C195))</f>
        <v/>
      </c>
      <c r="F195" s="2">
        <f t="shared" si="1"/>
        <v>0</v>
      </c>
      <c r="G195" s="1" t="str">
        <f>IF(A195 = "", "", COUNTIF('Game Record'!G:G, A195))</f>
        <v/>
      </c>
      <c r="H195" s="6" t="str">
        <f>IF(A195 = "", "", COUNTIF('Game Record'!H:H, A195))</f>
        <v/>
      </c>
      <c r="I195" s="2">
        <f>IFERROR(__xludf.DUMMYFUNCTION("SUM(FILTER(TeamARecordSet, INDEX(TeamARecordSet, 0, 1) = A195)) + SUM(FILTER(TeamBRecordSet, INDEX(TeamBRecordSet, 0, 1) = A195))"),0.0)</f>
        <v>0</v>
      </c>
      <c r="J195" s="2">
        <f t="shared" si="2"/>
        <v>0</v>
      </c>
      <c r="K195" s="2" t="str">
        <f t="shared" si="3"/>
        <v/>
      </c>
    </row>
    <row r="196">
      <c r="A196" s="2"/>
      <c r="B196" s="7"/>
      <c r="D196" s="5" t="str">
        <f>IF(A196 = "", "", COUNTIFS('Game Record'!G:G, A196, 'Game Record'!E:E, C196))</f>
        <v/>
      </c>
      <c r="E196" s="6" t="str">
        <f>IF(A196 = "", "", COUNTIFS('Game Record'!H:H, A196, 'Game Record'!E:E, C196))</f>
        <v/>
      </c>
      <c r="F196" s="2">
        <f t="shared" si="1"/>
        <v>0</v>
      </c>
      <c r="G196" s="1" t="str">
        <f>IF(A196 = "", "", COUNTIF('Game Record'!G:G, A196))</f>
        <v/>
      </c>
      <c r="H196" s="6" t="str">
        <f>IF(A196 = "", "", COUNTIF('Game Record'!H:H, A196))</f>
        <v/>
      </c>
      <c r="I196" s="2">
        <f>IFERROR(__xludf.DUMMYFUNCTION("SUM(FILTER(TeamARecordSet, INDEX(TeamARecordSet, 0, 1) = A196)) + SUM(FILTER(TeamBRecordSet, INDEX(TeamBRecordSet, 0, 1) = A196))"),0.0)</f>
        <v>0</v>
      </c>
      <c r="J196" s="2">
        <f t="shared" si="2"/>
        <v>0</v>
      </c>
      <c r="K196" s="2" t="str">
        <f t="shared" si="3"/>
        <v/>
      </c>
    </row>
    <row r="197">
      <c r="A197" s="2"/>
      <c r="B197" s="7"/>
      <c r="D197" s="5" t="str">
        <f>IF(A197 = "", "", COUNTIFS('Game Record'!G:G, A197, 'Game Record'!E:E, C197))</f>
        <v/>
      </c>
      <c r="E197" s="6" t="str">
        <f>IF(A197 = "", "", COUNTIFS('Game Record'!H:H, A197, 'Game Record'!E:E, C197))</f>
        <v/>
      </c>
      <c r="F197" s="2">
        <f t="shared" si="1"/>
        <v>0</v>
      </c>
      <c r="G197" s="1" t="str">
        <f>IF(A197 = "", "", COUNTIF('Game Record'!G:G, A197))</f>
        <v/>
      </c>
      <c r="H197" s="6" t="str">
        <f>IF(A197 = "", "", COUNTIF('Game Record'!H:H, A197))</f>
        <v/>
      </c>
      <c r="I197" s="2">
        <f>IFERROR(__xludf.DUMMYFUNCTION("SUM(FILTER(TeamARecordSet, INDEX(TeamARecordSet, 0, 1) = A197)) + SUM(FILTER(TeamBRecordSet, INDEX(TeamBRecordSet, 0, 1) = A197))"),0.0)</f>
        <v>0</v>
      </c>
      <c r="J197" s="2">
        <f t="shared" si="2"/>
        <v>0</v>
      </c>
      <c r="K197" s="2" t="str">
        <f t="shared" si="3"/>
        <v/>
      </c>
    </row>
    <row r="198">
      <c r="A198" s="2"/>
      <c r="B198" s="7"/>
      <c r="D198" s="5" t="str">
        <f>IF(A198 = "", "", COUNTIFS('Game Record'!G:G, A198, 'Game Record'!E:E, C198))</f>
        <v/>
      </c>
      <c r="E198" s="6" t="str">
        <f>IF(A198 = "", "", COUNTIFS('Game Record'!H:H, A198, 'Game Record'!E:E, C198))</f>
        <v/>
      </c>
      <c r="F198" s="2">
        <f t="shared" si="1"/>
        <v>0</v>
      </c>
      <c r="G198" s="1" t="str">
        <f>IF(A198 = "", "", COUNTIF('Game Record'!G:G, A198))</f>
        <v/>
      </c>
      <c r="H198" s="6" t="str">
        <f>IF(A198 = "", "", COUNTIF('Game Record'!H:H, A198))</f>
        <v/>
      </c>
      <c r="I198" s="2">
        <f>IFERROR(__xludf.DUMMYFUNCTION("SUM(FILTER(TeamARecordSet, INDEX(TeamARecordSet, 0, 1) = A198)) + SUM(FILTER(TeamBRecordSet, INDEX(TeamBRecordSet, 0, 1) = A198))"),0.0)</f>
        <v>0</v>
      </c>
      <c r="J198" s="2">
        <f t="shared" si="2"/>
        <v>0</v>
      </c>
      <c r="K198" s="2" t="str">
        <f t="shared" si="3"/>
        <v/>
      </c>
    </row>
    <row r="199">
      <c r="A199" s="2"/>
      <c r="B199" s="7"/>
      <c r="D199" s="5" t="str">
        <f>IF(A199 = "", "", COUNTIFS('Game Record'!G:G, A199, 'Game Record'!E:E, C199))</f>
        <v/>
      </c>
      <c r="E199" s="6" t="str">
        <f>IF(A199 = "", "", COUNTIFS('Game Record'!H:H, A199, 'Game Record'!E:E, C199))</f>
        <v/>
      </c>
      <c r="F199" s="2">
        <f t="shared" si="1"/>
        <v>0</v>
      </c>
      <c r="G199" s="1" t="str">
        <f>IF(A199 = "", "", COUNTIF('Game Record'!G:G, A199))</f>
        <v/>
      </c>
      <c r="H199" s="6" t="str">
        <f>IF(A199 = "", "", COUNTIF('Game Record'!H:H, A199))</f>
        <v/>
      </c>
      <c r="I199" s="2">
        <f>IFERROR(__xludf.DUMMYFUNCTION("SUM(FILTER(TeamARecordSet, INDEX(TeamARecordSet, 0, 1) = A199)) + SUM(FILTER(TeamBRecordSet, INDEX(TeamBRecordSet, 0, 1) = A199))"),0.0)</f>
        <v>0</v>
      </c>
      <c r="J199" s="2">
        <f t="shared" si="2"/>
        <v>0</v>
      </c>
      <c r="K199" s="2" t="str">
        <f t="shared" si="3"/>
        <v/>
      </c>
    </row>
    <row r="200">
      <c r="A200" s="2"/>
      <c r="B200" s="7"/>
      <c r="D200" s="5" t="str">
        <f>IF(A200 = "", "", COUNTIFS('Game Record'!G:G, A200, 'Game Record'!E:E, C200))</f>
        <v/>
      </c>
      <c r="E200" s="6" t="str">
        <f>IF(A200 = "", "", COUNTIFS('Game Record'!H:H, A200, 'Game Record'!E:E, C200))</f>
        <v/>
      </c>
      <c r="F200" s="2">
        <f t="shared" si="1"/>
        <v>0</v>
      </c>
      <c r="G200" s="1" t="str">
        <f>IF(A200 = "", "", COUNTIF('Game Record'!G:G, A200))</f>
        <v/>
      </c>
      <c r="H200" s="6" t="str">
        <f>IF(A200 = "", "", COUNTIF('Game Record'!H:H, A200))</f>
        <v/>
      </c>
      <c r="I200" s="2">
        <f>IFERROR(__xludf.DUMMYFUNCTION("SUM(FILTER(TeamARecordSet, INDEX(TeamARecordSet, 0, 1) = A200)) + SUM(FILTER(TeamBRecordSet, INDEX(TeamBRecordSet, 0, 1) = A200))"),0.0)</f>
        <v>0</v>
      </c>
      <c r="J200" s="2">
        <f t="shared" si="2"/>
        <v>0</v>
      </c>
      <c r="K200" s="2" t="str">
        <f t="shared" si="3"/>
        <v/>
      </c>
    </row>
    <row r="201">
      <c r="A201" s="2"/>
      <c r="B201" s="7"/>
      <c r="D201" s="5" t="str">
        <f>IF(A201 = "", "", COUNTIFS('Game Record'!G:G, A201, 'Game Record'!E:E, C201))</f>
        <v/>
      </c>
      <c r="E201" s="6" t="str">
        <f>IF(A201 = "", "", COUNTIFS('Game Record'!H:H, A201, 'Game Record'!E:E, C201))</f>
        <v/>
      </c>
      <c r="F201" s="2">
        <f t="shared" si="1"/>
        <v>0</v>
      </c>
      <c r="G201" s="1" t="str">
        <f>IF(A201 = "", "", COUNTIF('Game Record'!G:G, A201))</f>
        <v/>
      </c>
      <c r="H201" s="6" t="str">
        <f>IF(A201 = "", "", COUNTIF('Game Record'!H:H, A201))</f>
        <v/>
      </c>
      <c r="I201" s="2">
        <f>IFERROR(__xludf.DUMMYFUNCTION("SUM(FILTER(TeamARecordSet, INDEX(TeamARecordSet, 0, 1) = A201)) + SUM(FILTER(TeamBRecordSet, INDEX(TeamBRecordSet, 0, 1) = A201))"),0.0)</f>
        <v>0</v>
      </c>
      <c r="J201" s="2">
        <f t="shared" si="2"/>
        <v>0</v>
      </c>
      <c r="K201" s="2" t="str">
        <f t="shared" si="3"/>
        <v/>
      </c>
    </row>
    <row r="202">
      <c r="A202" s="2"/>
      <c r="B202" s="7"/>
      <c r="D202" s="5" t="str">
        <f>IF(A202 = "", "", COUNTIFS('Game Record'!G:G, A202, 'Game Record'!E:E, C202))</f>
        <v/>
      </c>
      <c r="E202" s="6" t="str">
        <f>IF(A202 = "", "", COUNTIFS('Game Record'!H:H, A202, 'Game Record'!E:E, C202))</f>
        <v/>
      </c>
      <c r="F202" s="2">
        <f t="shared" si="1"/>
        <v>0</v>
      </c>
      <c r="G202" s="1" t="str">
        <f>IF(A202 = "", "", COUNTIF('Game Record'!G:G, A202))</f>
        <v/>
      </c>
      <c r="H202" s="6" t="str">
        <f>IF(A202 = "", "", COUNTIF('Game Record'!H:H, A202))</f>
        <v/>
      </c>
      <c r="I202" s="2">
        <f>IFERROR(__xludf.DUMMYFUNCTION("SUM(FILTER(TeamARecordSet, INDEX(TeamARecordSet, 0, 1) = A202)) + SUM(FILTER(TeamBRecordSet, INDEX(TeamBRecordSet, 0, 1) = A202))"),0.0)</f>
        <v>0</v>
      </c>
      <c r="J202" s="2">
        <f t="shared" si="2"/>
        <v>0</v>
      </c>
      <c r="K202" s="2" t="str">
        <f t="shared" si="3"/>
        <v/>
      </c>
    </row>
    <row r="203">
      <c r="A203" s="2"/>
      <c r="B203" s="7"/>
      <c r="D203" s="5" t="str">
        <f>IF(A203 = "", "", COUNTIFS('Game Record'!G:G, A203, 'Game Record'!E:E, C203))</f>
        <v/>
      </c>
      <c r="E203" s="6" t="str">
        <f>IF(A203 = "", "", COUNTIFS('Game Record'!H:H, A203, 'Game Record'!E:E, C203))</f>
        <v/>
      </c>
      <c r="F203" s="2">
        <f t="shared" si="1"/>
        <v>0</v>
      </c>
      <c r="G203" s="1" t="str">
        <f>IF(A203 = "", "", COUNTIF('Game Record'!G:G, A203))</f>
        <v/>
      </c>
      <c r="H203" s="6" t="str">
        <f>IF(A203 = "", "", COUNTIF('Game Record'!H:H, A203))</f>
        <v/>
      </c>
      <c r="I203" s="2">
        <f>IFERROR(__xludf.DUMMYFUNCTION("SUM(FILTER(TeamARecordSet, INDEX(TeamARecordSet, 0, 1) = A203)) + SUM(FILTER(TeamBRecordSet, INDEX(TeamBRecordSet, 0, 1) = A203))"),0.0)</f>
        <v>0</v>
      </c>
      <c r="J203" s="2">
        <f t="shared" si="2"/>
        <v>0</v>
      </c>
      <c r="K203" s="2" t="str">
        <f t="shared" si="3"/>
        <v/>
      </c>
    </row>
    <row r="204">
      <c r="A204" s="2"/>
      <c r="B204" s="7"/>
      <c r="D204" s="5" t="str">
        <f>IF(A204 = "", "", COUNTIFS('Game Record'!G:G, A204, 'Game Record'!E:E, C204))</f>
        <v/>
      </c>
      <c r="E204" s="6" t="str">
        <f>IF(A204 = "", "", COUNTIFS('Game Record'!H:H, A204, 'Game Record'!E:E, C204))</f>
        <v/>
      </c>
      <c r="F204" s="2">
        <f t="shared" si="1"/>
        <v>0</v>
      </c>
      <c r="G204" s="1" t="str">
        <f>IF(A204 = "", "", COUNTIF('Game Record'!G:G, A204))</f>
        <v/>
      </c>
      <c r="H204" s="6" t="str">
        <f>IF(A204 = "", "", COUNTIF('Game Record'!H:H, A204))</f>
        <v/>
      </c>
      <c r="I204" s="2">
        <f>IFERROR(__xludf.DUMMYFUNCTION("SUM(FILTER(TeamARecordSet, INDEX(TeamARecordSet, 0, 1) = A204)) + SUM(FILTER(TeamBRecordSet, INDEX(TeamBRecordSet, 0, 1) = A204))"),0.0)</f>
        <v>0</v>
      </c>
      <c r="J204" s="2">
        <f t="shared" si="2"/>
        <v>0</v>
      </c>
      <c r="K204" s="2" t="str">
        <f t="shared" si="3"/>
        <v/>
      </c>
    </row>
    <row r="205">
      <c r="A205" s="2"/>
      <c r="B205" s="7"/>
      <c r="D205" s="5" t="str">
        <f>IF(A205 = "", "", COUNTIFS('Game Record'!G:G, A205, 'Game Record'!E:E, C205))</f>
        <v/>
      </c>
      <c r="E205" s="6" t="str">
        <f>IF(A205 = "", "", COUNTIFS('Game Record'!H:H, A205, 'Game Record'!E:E, C205))</f>
        <v/>
      </c>
      <c r="F205" s="2">
        <f t="shared" si="1"/>
        <v>0</v>
      </c>
      <c r="G205" s="1" t="str">
        <f>IF(A205 = "", "", COUNTIF('Game Record'!G:G, A205))</f>
        <v/>
      </c>
      <c r="H205" s="6" t="str">
        <f>IF(A205 = "", "", COUNTIF('Game Record'!H:H, A205))</f>
        <v/>
      </c>
      <c r="I205" s="2">
        <f>IFERROR(__xludf.DUMMYFUNCTION("SUM(FILTER(TeamARecordSet, INDEX(TeamARecordSet, 0, 1) = A205)) + SUM(FILTER(TeamBRecordSet, INDEX(TeamBRecordSet, 0, 1) = A205))"),0.0)</f>
        <v>0</v>
      </c>
      <c r="J205" s="2">
        <f t="shared" si="2"/>
        <v>0</v>
      </c>
      <c r="K205" s="2" t="str">
        <f t="shared" si="3"/>
        <v/>
      </c>
    </row>
    <row r="206">
      <c r="A206" s="2"/>
      <c r="B206" s="7"/>
      <c r="D206" s="5" t="str">
        <f>IF(A206 = "", "", COUNTIFS('Game Record'!G:G, A206, 'Game Record'!E:E, C206))</f>
        <v/>
      </c>
      <c r="E206" s="6" t="str">
        <f>IF(A206 = "", "", COUNTIFS('Game Record'!H:H, A206, 'Game Record'!E:E, C206))</f>
        <v/>
      </c>
      <c r="F206" s="2">
        <f t="shared" si="1"/>
        <v>0</v>
      </c>
      <c r="G206" s="1" t="str">
        <f>IF(A206 = "", "", COUNTIF('Game Record'!G:G, A206))</f>
        <v/>
      </c>
      <c r="H206" s="6" t="str">
        <f>IF(A206 = "", "", COUNTIF('Game Record'!H:H, A206))</f>
        <v/>
      </c>
      <c r="I206" s="2">
        <f>IFERROR(__xludf.DUMMYFUNCTION("SUM(FILTER(TeamARecordSet, INDEX(TeamARecordSet, 0, 1) = A206)) + SUM(FILTER(TeamBRecordSet, INDEX(TeamBRecordSet, 0, 1) = A206))"),0.0)</f>
        <v>0</v>
      </c>
      <c r="J206" s="2">
        <f t="shared" si="2"/>
        <v>0</v>
      </c>
      <c r="K206" s="2" t="str">
        <f t="shared" si="3"/>
        <v/>
      </c>
    </row>
    <row r="207">
      <c r="A207" s="2"/>
      <c r="B207" s="7"/>
      <c r="D207" s="5" t="str">
        <f>IF(A207 = "", "", COUNTIFS('Game Record'!G:G, A207, 'Game Record'!E:E, C207))</f>
        <v/>
      </c>
      <c r="E207" s="6" t="str">
        <f>IF(A207 = "", "", COUNTIFS('Game Record'!H:H, A207, 'Game Record'!E:E, C207))</f>
        <v/>
      </c>
      <c r="F207" s="2">
        <f t="shared" si="1"/>
        <v>0</v>
      </c>
      <c r="G207" s="1" t="str">
        <f>IF(A207 = "", "", COUNTIF('Game Record'!G:G, A207))</f>
        <v/>
      </c>
      <c r="H207" s="6" t="str">
        <f>IF(A207 = "", "", COUNTIF('Game Record'!H:H, A207))</f>
        <v/>
      </c>
      <c r="I207" s="2">
        <f>IFERROR(__xludf.DUMMYFUNCTION("SUM(FILTER(TeamARecordSet, INDEX(TeamARecordSet, 0, 1) = A207)) + SUM(FILTER(TeamBRecordSet, INDEX(TeamBRecordSet, 0, 1) = A207))"),0.0)</f>
        <v>0</v>
      </c>
      <c r="J207" s="2">
        <f t="shared" si="2"/>
        <v>0</v>
      </c>
      <c r="K207" s="2" t="str">
        <f t="shared" si="3"/>
        <v/>
      </c>
    </row>
    <row r="208">
      <c r="A208" s="2"/>
      <c r="B208" s="7"/>
      <c r="D208" s="5" t="str">
        <f>IF(A208 = "", "", COUNTIFS('Game Record'!G:G, A208, 'Game Record'!E:E, C208))</f>
        <v/>
      </c>
      <c r="E208" s="6" t="str">
        <f>IF(A208 = "", "", COUNTIFS('Game Record'!H:H, A208, 'Game Record'!E:E, C208))</f>
        <v/>
      </c>
      <c r="F208" s="2">
        <f t="shared" si="1"/>
        <v>0</v>
      </c>
      <c r="G208" s="1" t="str">
        <f>IF(A208 = "", "", COUNTIF('Game Record'!G:G, A208))</f>
        <v/>
      </c>
      <c r="H208" s="6" t="str">
        <f>IF(A208 = "", "", COUNTIF('Game Record'!H:H, A208))</f>
        <v/>
      </c>
      <c r="I208" s="2">
        <f>IFERROR(__xludf.DUMMYFUNCTION("SUM(FILTER(TeamARecordSet, INDEX(TeamARecordSet, 0, 1) = A208)) + SUM(FILTER(TeamBRecordSet, INDEX(TeamBRecordSet, 0, 1) = A208))"),0.0)</f>
        <v>0</v>
      </c>
      <c r="J208" s="2">
        <f t="shared" si="2"/>
        <v>0</v>
      </c>
      <c r="K208" s="2" t="str">
        <f t="shared" si="3"/>
        <v/>
      </c>
    </row>
    <row r="209">
      <c r="A209" s="2"/>
      <c r="B209" s="7"/>
      <c r="D209" s="5" t="str">
        <f>IF(A209 = "", "", COUNTIFS('Game Record'!G:G, A209, 'Game Record'!E:E, C209))</f>
        <v/>
      </c>
      <c r="E209" s="6" t="str">
        <f>IF(A209 = "", "", COUNTIFS('Game Record'!H:H, A209, 'Game Record'!E:E, C209))</f>
        <v/>
      </c>
      <c r="F209" s="2">
        <f t="shared" si="1"/>
        <v>0</v>
      </c>
      <c r="G209" s="1" t="str">
        <f>IF(A209 = "", "", COUNTIF('Game Record'!G:G, A209))</f>
        <v/>
      </c>
      <c r="H209" s="6" t="str">
        <f>IF(A209 = "", "", COUNTIF('Game Record'!H:H, A209))</f>
        <v/>
      </c>
      <c r="I209" s="2">
        <f>IFERROR(__xludf.DUMMYFUNCTION("SUM(FILTER(TeamARecordSet, INDEX(TeamARecordSet, 0, 1) = A209)) + SUM(FILTER(TeamBRecordSet, INDEX(TeamBRecordSet, 0, 1) = A209))"),0.0)</f>
        <v>0</v>
      </c>
      <c r="J209" s="2">
        <f t="shared" si="2"/>
        <v>0</v>
      </c>
      <c r="K209" s="2" t="str">
        <f t="shared" si="3"/>
        <v/>
      </c>
    </row>
    <row r="210">
      <c r="A210" s="2"/>
      <c r="B210" s="7"/>
      <c r="D210" s="5" t="str">
        <f>IF(A210 = "", "", COUNTIFS('Game Record'!G:G, A210, 'Game Record'!E:E, C210))</f>
        <v/>
      </c>
      <c r="E210" s="6" t="str">
        <f>IF(A210 = "", "", COUNTIFS('Game Record'!H:H, A210, 'Game Record'!E:E, C210))</f>
        <v/>
      </c>
      <c r="F210" s="2">
        <f t="shared" si="1"/>
        <v>0</v>
      </c>
      <c r="G210" s="1" t="str">
        <f>IF(A210 = "", "", COUNTIF('Game Record'!G:G, A210))</f>
        <v/>
      </c>
      <c r="H210" s="6" t="str">
        <f>IF(A210 = "", "", COUNTIF('Game Record'!H:H, A210))</f>
        <v/>
      </c>
      <c r="I210" s="2">
        <f>IFERROR(__xludf.DUMMYFUNCTION("SUM(FILTER(TeamARecordSet, INDEX(TeamARecordSet, 0, 1) = A210)) + SUM(FILTER(TeamBRecordSet, INDEX(TeamBRecordSet, 0, 1) = A210))"),0.0)</f>
        <v>0</v>
      </c>
      <c r="J210" s="2">
        <f t="shared" si="2"/>
        <v>0</v>
      </c>
      <c r="K210" s="2" t="str">
        <f t="shared" si="3"/>
        <v/>
      </c>
    </row>
    <row r="211">
      <c r="A211" s="2"/>
      <c r="B211" s="7"/>
      <c r="D211" s="5" t="str">
        <f>IF(A211 = "", "", COUNTIFS('Game Record'!G:G, A211, 'Game Record'!E:E, C211))</f>
        <v/>
      </c>
      <c r="E211" s="6" t="str">
        <f>IF(A211 = "", "", COUNTIFS('Game Record'!H:H, A211, 'Game Record'!E:E, C211))</f>
        <v/>
      </c>
      <c r="F211" s="2">
        <f t="shared" si="1"/>
        <v>0</v>
      </c>
      <c r="G211" s="1" t="str">
        <f>IF(A211 = "", "", COUNTIF('Game Record'!G:G, A211))</f>
        <v/>
      </c>
      <c r="H211" s="6" t="str">
        <f>IF(A211 = "", "", COUNTIF('Game Record'!H:H, A211))</f>
        <v/>
      </c>
      <c r="I211" s="2">
        <f>IFERROR(__xludf.DUMMYFUNCTION("SUM(FILTER(TeamARecordSet, INDEX(TeamARecordSet, 0, 1) = A211)) + SUM(FILTER(TeamBRecordSet, INDEX(TeamBRecordSet, 0, 1) = A211))"),0.0)</f>
        <v>0</v>
      </c>
      <c r="J211" s="2">
        <f t="shared" si="2"/>
        <v>0</v>
      </c>
      <c r="K211" s="2" t="str">
        <f t="shared" si="3"/>
        <v/>
      </c>
    </row>
    <row r="212">
      <c r="A212" s="2"/>
      <c r="B212" s="7"/>
      <c r="D212" s="5" t="str">
        <f>IF(A212 = "", "", COUNTIFS('Game Record'!G:G, A212, 'Game Record'!E:E, C212))</f>
        <v/>
      </c>
      <c r="E212" s="6" t="str">
        <f>IF(A212 = "", "", COUNTIFS('Game Record'!H:H, A212, 'Game Record'!E:E, C212))</f>
        <v/>
      </c>
      <c r="F212" s="2">
        <f t="shared" si="1"/>
        <v>0</v>
      </c>
      <c r="G212" s="1" t="str">
        <f>IF(A212 = "", "", COUNTIF('Game Record'!G:G, A212))</f>
        <v/>
      </c>
      <c r="H212" s="6" t="str">
        <f>IF(A212 = "", "", COUNTIF('Game Record'!H:H, A212))</f>
        <v/>
      </c>
      <c r="I212" s="2">
        <f>IFERROR(__xludf.DUMMYFUNCTION("SUM(FILTER(TeamARecordSet, INDEX(TeamARecordSet, 0, 1) = A212)) + SUM(FILTER(TeamBRecordSet, INDEX(TeamBRecordSet, 0, 1) = A212))"),0.0)</f>
        <v>0</v>
      </c>
      <c r="J212" s="2">
        <f t="shared" si="2"/>
        <v>0</v>
      </c>
      <c r="K212" s="2" t="str">
        <f t="shared" si="3"/>
        <v/>
      </c>
    </row>
    <row r="213">
      <c r="A213" s="2"/>
      <c r="B213" s="7"/>
      <c r="D213" s="5" t="str">
        <f>IF(A213 = "", "", COUNTIFS('Game Record'!G:G, A213, 'Game Record'!E:E, C213))</f>
        <v/>
      </c>
      <c r="E213" s="6" t="str">
        <f>IF(A213 = "", "", COUNTIFS('Game Record'!H:H, A213, 'Game Record'!E:E, C213))</f>
        <v/>
      </c>
      <c r="F213" s="2">
        <f t="shared" si="1"/>
        <v>0</v>
      </c>
      <c r="G213" s="1" t="str">
        <f>IF(A213 = "", "", COUNTIF('Game Record'!G:G, A213))</f>
        <v/>
      </c>
      <c r="H213" s="6" t="str">
        <f>IF(A213 = "", "", COUNTIF('Game Record'!H:H, A213))</f>
        <v/>
      </c>
      <c r="I213" s="2">
        <f>IFERROR(__xludf.DUMMYFUNCTION("SUM(FILTER(TeamARecordSet, INDEX(TeamARecordSet, 0, 1) = A213)) + SUM(FILTER(TeamBRecordSet, INDEX(TeamBRecordSet, 0, 1) = A213))"),0.0)</f>
        <v>0</v>
      </c>
      <c r="J213" s="2">
        <f t="shared" si="2"/>
        <v>0</v>
      </c>
      <c r="K213" s="2" t="str">
        <f t="shared" si="3"/>
        <v/>
      </c>
    </row>
    <row r="214">
      <c r="A214" s="2"/>
      <c r="B214" s="7"/>
      <c r="D214" s="5" t="str">
        <f>IF(A214 = "", "", COUNTIFS('Game Record'!G:G, A214, 'Game Record'!E:E, C214))</f>
        <v/>
      </c>
      <c r="E214" s="6" t="str">
        <f>IF(A214 = "", "", COUNTIFS('Game Record'!H:H, A214, 'Game Record'!E:E, C214))</f>
        <v/>
      </c>
      <c r="F214" s="2">
        <f t="shared" si="1"/>
        <v>0</v>
      </c>
      <c r="G214" s="1" t="str">
        <f>IF(A214 = "", "", COUNTIF('Game Record'!G:G, A214))</f>
        <v/>
      </c>
      <c r="H214" s="6" t="str">
        <f>IF(A214 = "", "", COUNTIF('Game Record'!H:H, A214))</f>
        <v/>
      </c>
      <c r="I214" s="2">
        <f>IFERROR(__xludf.DUMMYFUNCTION("SUM(FILTER(TeamARecordSet, INDEX(TeamARecordSet, 0, 1) = A214)) + SUM(FILTER(TeamBRecordSet, INDEX(TeamBRecordSet, 0, 1) = A214))"),0.0)</f>
        <v>0</v>
      </c>
      <c r="J214" s="2">
        <f t="shared" si="2"/>
        <v>0</v>
      </c>
      <c r="K214" s="2" t="str">
        <f t="shared" si="3"/>
        <v/>
      </c>
    </row>
    <row r="215">
      <c r="A215" s="2"/>
      <c r="B215" s="7"/>
      <c r="D215" s="5" t="str">
        <f>IF(A215 = "", "", COUNTIFS('Game Record'!G:G, A215, 'Game Record'!E:E, C215))</f>
        <v/>
      </c>
      <c r="E215" s="6" t="str">
        <f>IF(A215 = "", "", COUNTIFS('Game Record'!H:H, A215, 'Game Record'!E:E, C215))</f>
        <v/>
      </c>
      <c r="F215" s="2">
        <f t="shared" si="1"/>
        <v>0</v>
      </c>
      <c r="G215" s="1" t="str">
        <f>IF(A215 = "", "", COUNTIF('Game Record'!G:G, A215))</f>
        <v/>
      </c>
      <c r="H215" s="6" t="str">
        <f>IF(A215 = "", "", COUNTIF('Game Record'!H:H, A215))</f>
        <v/>
      </c>
      <c r="I215" s="2">
        <f>IFERROR(__xludf.DUMMYFUNCTION("SUM(FILTER(TeamARecordSet, INDEX(TeamARecordSet, 0, 1) = A215)) + SUM(FILTER(TeamBRecordSet, INDEX(TeamBRecordSet, 0, 1) = A215))"),0.0)</f>
        <v>0</v>
      </c>
      <c r="J215" s="2">
        <f t="shared" si="2"/>
        <v>0</v>
      </c>
      <c r="K215" s="2" t="str">
        <f t="shared" si="3"/>
        <v/>
      </c>
    </row>
    <row r="216">
      <c r="A216" s="2"/>
      <c r="B216" s="7"/>
      <c r="D216" s="5" t="str">
        <f>IF(A216 = "", "", COUNTIFS('Game Record'!G:G, A216, 'Game Record'!E:E, C216))</f>
        <v/>
      </c>
      <c r="E216" s="6" t="str">
        <f>IF(A216 = "", "", COUNTIFS('Game Record'!H:H, A216, 'Game Record'!E:E, C216))</f>
        <v/>
      </c>
      <c r="F216" s="2">
        <f t="shared" si="1"/>
        <v>0</v>
      </c>
      <c r="G216" s="1" t="str">
        <f>IF(A216 = "", "", COUNTIF('Game Record'!G:G, A216))</f>
        <v/>
      </c>
      <c r="H216" s="6" t="str">
        <f>IF(A216 = "", "", COUNTIF('Game Record'!H:H, A216))</f>
        <v/>
      </c>
      <c r="I216" s="2">
        <f>IFERROR(__xludf.DUMMYFUNCTION("SUM(FILTER(TeamARecordSet, INDEX(TeamARecordSet, 0, 1) = A216)) + SUM(FILTER(TeamBRecordSet, INDEX(TeamBRecordSet, 0, 1) = A216))"),0.0)</f>
        <v>0</v>
      </c>
      <c r="J216" s="2">
        <f t="shared" si="2"/>
        <v>0</v>
      </c>
      <c r="K216" s="2" t="str">
        <f t="shared" si="3"/>
        <v/>
      </c>
    </row>
    <row r="217">
      <c r="A217" s="2"/>
      <c r="B217" s="7"/>
      <c r="D217" s="5" t="str">
        <f>IF(A217 = "", "", COUNTIFS('Game Record'!G:G, A217, 'Game Record'!E:E, C217))</f>
        <v/>
      </c>
      <c r="E217" s="6" t="str">
        <f>IF(A217 = "", "", COUNTIFS('Game Record'!H:H, A217, 'Game Record'!E:E, C217))</f>
        <v/>
      </c>
      <c r="F217" s="2">
        <f t="shared" si="1"/>
        <v>0</v>
      </c>
      <c r="G217" s="1" t="str">
        <f>IF(A217 = "", "", COUNTIF('Game Record'!G:G, A217))</f>
        <v/>
      </c>
      <c r="H217" s="6" t="str">
        <f>IF(A217 = "", "", COUNTIF('Game Record'!H:H, A217))</f>
        <v/>
      </c>
      <c r="I217" s="2">
        <f>IFERROR(__xludf.DUMMYFUNCTION("SUM(FILTER(TeamARecordSet, INDEX(TeamARecordSet, 0, 1) = A217)) + SUM(FILTER(TeamBRecordSet, INDEX(TeamBRecordSet, 0, 1) = A217))"),0.0)</f>
        <v>0</v>
      </c>
      <c r="J217" s="2">
        <f t="shared" si="2"/>
        <v>0</v>
      </c>
      <c r="K217" s="2" t="str">
        <f t="shared" si="3"/>
        <v/>
      </c>
    </row>
    <row r="218">
      <c r="A218" s="2"/>
      <c r="B218" s="7"/>
      <c r="D218" s="5" t="str">
        <f>IF(A218 = "", "", COUNTIFS('Game Record'!G:G, A218, 'Game Record'!E:E, C218))</f>
        <v/>
      </c>
      <c r="E218" s="6" t="str">
        <f>IF(A218 = "", "", COUNTIFS('Game Record'!H:H, A218, 'Game Record'!E:E, C218))</f>
        <v/>
      </c>
      <c r="F218" s="2">
        <f t="shared" si="1"/>
        <v>0</v>
      </c>
      <c r="G218" s="1" t="str">
        <f>IF(A218 = "", "", COUNTIF('Game Record'!G:G, A218))</f>
        <v/>
      </c>
      <c r="H218" s="6" t="str">
        <f>IF(A218 = "", "", COUNTIF('Game Record'!H:H, A218))</f>
        <v/>
      </c>
      <c r="I218" s="2">
        <f>IFERROR(__xludf.DUMMYFUNCTION("SUM(FILTER(TeamARecordSet, INDEX(TeamARecordSet, 0, 1) = A218)) + SUM(FILTER(TeamBRecordSet, INDEX(TeamBRecordSet, 0, 1) = A218))"),0.0)</f>
        <v>0</v>
      </c>
      <c r="J218" s="2">
        <f t="shared" si="2"/>
        <v>0</v>
      </c>
      <c r="K218" s="2" t="str">
        <f t="shared" si="3"/>
        <v/>
      </c>
    </row>
    <row r="219">
      <c r="A219" s="2"/>
      <c r="B219" s="7"/>
      <c r="D219" s="5" t="str">
        <f>IF(A219 = "", "", COUNTIFS('Game Record'!G:G, A219, 'Game Record'!E:E, C219))</f>
        <v/>
      </c>
      <c r="E219" s="6" t="str">
        <f>IF(A219 = "", "", COUNTIFS('Game Record'!H:H, A219, 'Game Record'!E:E, C219))</f>
        <v/>
      </c>
      <c r="F219" s="2">
        <f t="shared" si="1"/>
        <v>0</v>
      </c>
      <c r="G219" s="1" t="str">
        <f>IF(A219 = "", "", COUNTIF('Game Record'!G:G, A219))</f>
        <v/>
      </c>
      <c r="H219" s="6" t="str">
        <f>IF(A219 = "", "", COUNTIF('Game Record'!H:H, A219))</f>
        <v/>
      </c>
      <c r="I219" s="2">
        <f>IFERROR(__xludf.DUMMYFUNCTION("SUM(FILTER(TeamARecordSet, INDEX(TeamARecordSet, 0, 1) = A219)) + SUM(FILTER(TeamBRecordSet, INDEX(TeamBRecordSet, 0, 1) = A219))"),0.0)</f>
        <v>0</v>
      </c>
      <c r="J219" s="2">
        <f t="shared" si="2"/>
        <v>0</v>
      </c>
      <c r="K219" s="2" t="str">
        <f t="shared" si="3"/>
        <v/>
      </c>
    </row>
    <row r="220">
      <c r="A220" s="2"/>
      <c r="B220" s="7"/>
      <c r="D220" s="5" t="str">
        <f>IF(A220 = "", "", COUNTIFS('Game Record'!G:G, A220, 'Game Record'!E:E, C220))</f>
        <v/>
      </c>
      <c r="E220" s="6" t="str">
        <f>IF(A220 = "", "", COUNTIFS('Game Record'!H:H, A220, 'Game Record'!E:E, C220))</f>
        <v/>
      </c>
      <c r="F220" s="2">
        <f t="shared" si="1"/>
        <v>0</v>
      </c>
      <c r="G220" s="1" t="str">
        <f>IF(A220 = "", "", COUNTIF('Game Record'!G:G, A220))</f>
        <v/>
      </c>
      <c r="H220" s="6" t="str">
        <f>IF(A220 = "", "", COUNTIF('Game Record'!H:H, A220))</f>
        <v/>
      </c>
      <c r="I220" s="2">
        <f>IFERROR(__xludf.DUMMYFUNCTION("SUM(FILTER(TeamARecordSet, INDEX(TeamARecordSet, 0, 1) = A220)) + SUM(FILTER(TeamBRecordSet, INDEX(TeamBRecordSet, 0, 1) = A220))"),0.0)</f>
        <v>0</v>
      </c>
      <c r="J220" s="2">
        <f t="shared" si="2"/>
        <v>0</v>
      </c>
      <c r="K220" s="2" t="str">
        <f t="shared" si="3"/>
        <v/>
      </c>
    </row>
    <row r="221">
      <c r="A221" s="2"/>
      <c r="B221" s="7"/>
      <c r="D221" s="5" t="str">
        <f>IF(A221 = "", "", COUNTIFS('Game Record'!G:G, A221, 'Game Record'!E:E, C221))</f>
        <v/>
      </c>
      <c r="E221" s="6" t="str">
        <f>IF(A221 = "", "", COUNTIFS('Game Record'!H:H, A221, 'Game Record'!E:E, C221))</f>
        <v/>
      </c>
      <c r="F221" s="2">
        <f t="shared" si="1"/>
        <v>0</v>
      </c>
      <c r="G221" s="1" t="str">
        <f>IF(A221 = "", "", COUNTIF('Game Record'!G:G, A221))</f>
        <v/>
      </c>
      <c r="H221" s="6" t="str">
        <f>IF(A221 = "", "", COUNTIF('Game Record'!H:H, A221))</f>
        <v/>
      </c>
      <c r="I221" s="2">
        <f>IFERROR(__xludf.DUMMYFUNCTION("SUM(FILTER(TeamARecordSet, INDEX(TeamARecordSet, 0, 1) = A221)) + SUM(FILTER(TeamBRecordSet, INDEX(TeamBRecordSet, 0, 1) = A221))"),0.0)</f>
        <v>0</v>
      </c>
      <c r="J221" s="2">
        <f t="shared" si="2"/>
        <v>0</v>
      </c>
      <c r="K221" s="2" t="str">
        <f t="shared" si="3"/>
        <v/>
      </c>
    </row>
    <row r="222">
      <c r="A222" s="2"/>
      <c r="B222" s="7"/>
      <c r="D222" s="5" t="str">
        <f>IF(A222 = "", "", COUNTIFS('Game Record'!G:G, A222, 'Game Record'!E:E, C222))</f>
        <v/>
      </c>
      <c r="E222" s="6" t="str">
        <f>IF(A222 = "", "", COUNTIFS('Game Record'!H:H, A222, 'Game Record'!E:E, C222))</f>
        <v/>
      </c>
      <c r="F222" s="2">
        <f t="shared" si="1"/>
        <v>0</v>
      </c>
      <c r="G222" s="1" t="str">
        <f>IF(A222 = "", "", COUNTIF('Game Record'!G:G, A222))</f>
        <v/>
      </c>
      <c r="H222" s="6" t="str">
        <f>IF(A222 = "", "", COUNTIF('Game Record'!H:H, A222))</f>
        <v/>
      </c>
      <c r="I222" s="2">
        <f>IFERROR(__xludf.DUMMYFUNCTION("SUM(FILTER(TeamARecordSet, INDEX(TeamARecordSet, 0, 1) = A222)) + SUM(FILTER(TeamBRecordSet, INDEX(TeamBRecordSet, 0, 1) = A222))"),0.0)</f>
        <v>0</v>
      </c>
      <c r="J222" s="2">
        <f t="shared" si="2"/>
        <v>0</v>
      </c>
      <c r="K222" s="2" t="str">
        <f t="shared" si="3"/>
        <v/>
      </c>
    </row>
    <row r="223">
      <c r="A223" s="2"/>
      <c r="B223" s="7"/>
      <c r="D223" s="5" t="str">
        <f>IF(A223 = "", "", COUNTIFS('Game Record'!G:G, A223, 'Game Record'!E:E, C223))</f>
        <v/>
      </c>
      <c r="E223" s="6" t="str">
        <f>IF(A223 = "", "", COUNTIFS('Game Record'!H:H, A223, 'Game Record'!E:E, C223))</f>
        <v/>
      </c>
      <c r="F223" s="2">
        <f t="shared" si="1"/>
        <v>0</v>
      </c>
      <c r="G223" s="1" t="str">
        <f>IF(A223 = "", "", COUNTIF('Game Record'!G:G, A223))</f>
        <v/>
      </c>
      <c r="H223" s="6" t="str">
        <f>IF(A223 = "", "", COUNTIF('Game Record'!H:H, A223))</f>
        <v/>
      </c>
      <c r="I223" s="2">
        <f>IFERROR(__xludf.DUMMYFUNCTION("SUM(FILTER(TeamARecordSet, INDEX(TeamARecordSet, 0, 1) = A223)) + SUM(FILTER(TeamBRecordSet, INDEX(TeamBRecordSet, 0, 1) = A223))"),0.0)</f>
        <v>0</v>
      </c>
      <c r="J223" s="2">
        <f t="shared" si="2"/>
        <v>0</v>
      </c>
      <c r="K223" s="2" t="str">
        <f t="shared" si="3"/>
        <v/>
      </c>
    </row>
    <row r="224">
      <c r="A224" s="2"/>
      <c r="B224" s="7"/>
      <c r="D224" s="5" t="str">
        <f>IF(A224 = "", "", COUNTIFS('Game Record'!G:G, A224, 'Game Record'!E:E, C224))</f>
        <v/>
      </c>
      <c r="E224" s="6" t="str">
        <f>IF(A224 = "", "", COUNTIFS('Game Record'!H:H, A224, 'Game Record'!E:E, C224))</f>
        <v/>
      </c>
      <c r="F224" s="2">
        <f t="shared" si="1"/>
        <v>0</v>
      </c>
      <c r="G224" s="1" t="str">
        <f>IF(A224 = "", "", COUNTIF('Game Record'!G:G, A224))</f>
        <v/>
      </c>
      <c r="H224" s="6" t="str">
        <f>IF(A224 = "", "", COUNTIF('Game Record'!H:H, A224))</f>
        <v/>
      </c>
      <c r="I224" s="2">
        <f>IFERROR(__xludf.DUMMYFUNCTION("SUM(FILTER(TeamARecordSet, INDEX(TeamARecordSet, 0, 1) = A224)) + SUM(FILTER(TeamBRecordSet, INDEX(TeamBRecordSet, 0, 1) = A224))"),0.0)</f>
        <v>0</v>
      </c>
      <c r="J224" s="2">
        <f t="shared" si="2"/>
        <v>0</v>
      </c>
      <c r="K224" s="2" t="str">
        <f t="shared" si="3"/>
        <v/>
      </c>
    </row>
    <row r="225">
      <c r="A225" s="2"/>
      <c r="B225" s="7"/>
      <c r="D225" s="5" t="str">
        <f>IF(A225 = "", "", COUNTIFS('Game Record'!G:G, A225, 'Game Record'!E:E, C225))</f>
        <v/>
      </c>
      <c r="E225" s="6" t="str">
        <f>IF(A225 = "", "", COUNTIFS('Game Record'!H:H, A225, 'Game Record'!E:E, C225))</f>
        <v/>
      </c>
      <c r="F225" s="2">
        <f t="shared" si="1"/>
        <v>0</v>
      </c>
      <c r="G225" s="1" t="str">
        <f>IF(A225 = "", "", COUNTIF('Game Record'!G:G, A225))</f>
        <v/>
      </c>
      <c r="H225" s="6" t="str">
        <f>IF(A225 = "", "", COUNTIF('Game Record'!H:H, A225))</f>
        <v/>
      </c>
      <c r="I225" s="2">
        <f>IFERROR(__xludf.DUMMYFUNCTION("SUM(FILTER(TeamARecordSet, INDEX(TeamARecordSet, 0, 1) = A225)) + SUM(FILTER(TeamBRecordSet, INDEX(TeamBRecordSet, 0, 1) = A225))"),0.0)</f>
        <v>0</v>
      </c>
      <c r="J225" s="2">
        <f t="shared" si="2"/>
        <v>0</v>
      </c>
      <c r="K225" s="2" t="str">
        <f t="shared" si="3"/>
        <v/>
      </c>
    </row>
    <row r="226">
      <c r="A226" s="2"/>
      <c r="B226" s="7"/>
      <c r="D226" s="5" t="str">
        <f>IF(A226 = "", "", COUNTIFS('Game Record'!G:G, A226, 'Game Record'!E:E, C226))</f>
        <v/>
      </c>
      <c r="E226" s="6" t="str">
        <f>IF(A226 = "", "", COUNTIFS('Game Record'!H:H, A226, 'Game Record'!E:E, C226))</f>
        <v/>
      </c>
      <c r="F226" s="2">
        <f t="shared" si="1"/>
        <v>0</v>
      </c>
      <c r="G226" s="1" t="str">
        <f>IF(A226 = "", "", COUNTIF('Game Record'!G:G, A226))</f>
        <v/>
      </c>
      <c r="H226" s="6" t="str">
        <f>IF(A226 = "", "", COUNTIF('Game Record'!H:H, A226))</f>
        <v/>
      </c>
      <c r="I226" s="2">
        <f>IFERROR(__xludf.DUMMYFUNCTION("SUM(FILTER(TeamARecordSet, INDEX(TeamARecordSet, 0, 1) = A226)) + SUM(FILTER(TeamBRecordSet, INDEX(TeamBRecordSet, 0, 1) = A226))"),0.0)</f>
        <v>0</v>
      </c>
      <c r="J226" s="2">
        <f t="shared" si="2"/>
        <v>0</v>
      </c>
      <c r="K226" s="2" t="str">
        <f t="shared" si="3"/>
        <v/>
      </c>
    </row>
    <row r="227">
      <c r="A227" s="2"/>
      <c r="B227" s="7"/>
      <c r="D227" s="5" t="str">
        <f>IF(A227 = "", "", COUNTIFS('Game Record'!G:G, A227, 'Game Record'!E:E, C227))</f>
        <v/>
      </c>
      <c r="E227" s="6" t="str">
        <f>IF(A227 = "", "", COUNTIFS('Game Record'!H:H, A227, 'Game Record'!E:E, C227))</f>
        <v/>
      </c>
      <c r="F227" s="2">
        <f t="shared" si="1"/>
        <v>0</v>
      </c>
      <c r="G227" s="1" t="str">
        <f>IF(A227 = "", "", COUNTIF('Game Record'!G:G, A227))</f>
        <v/>
      </c>
      <c r="H227" s="6" t="str">
        <f>IF(A227 = "", "", COUNTIF('Game Record'!H:H, A227))</f>
        <v/>
      </c>
      <c r="I227" s="2">
        <f>IFERROR(__xludf.DUMMYFUNCTION("SUM(FILTER(TeamARecordSet, INDEX(TeamARecordSet, 0, 1) = A227)) + SUM(FILTER(TeamBRecordSet, INDEX(TeamBRecordSet, 0, 1) = A227))"),0.0)</f>
        <v>0</v>
      </c>
      <c r="J227" s="2">
        <f t="shared" si="2"/>
        <v>0</v>
      </c>
      <c r="K227" s="2" t="str">
        <f t="shared" si="3"/>
        <v/>
      </c>
    </row>
    <row r="228">
      <c r="A228" s="2"/>
      <c r="B228" s="7"/>
      <c r="D228" s="5" t="str">
        <f>IF(A228 = "", "", COUNTIFS('Game Record'!G:G, A228, 'Game Record'!E:E, C228))</f>
        <v/>
      </c>
      <c r="E228" s="6" t="str">
        <f>IF(A228 = "", "", COUNTIFS('Game Record'!H:H, A228, 'Game Record'!E:E, C228))</f>
        <v/>
      </c>
      <c r="F228" s="2">
        <f t="shared" si="1"/>
        <v>0</v>
      </c>
      <c r="G228" s="1" t="str">
        <f>IF(A228 = "", "", COUNTIF('Game Record'!G:G, A228))</f>
        <v/>
      </c>
      <c r="H228" s="6" t="str">
        <f>IF(A228 = "", "", COUNTIF('Game Record'!H:H, A228))</f>
        <v/>
      </c>
      <c r="I228" s="2">
        <f>IFERROR(__xludf.DUMMYFUNCTION("SUM(FILTER(TeamARecordSet, INDEX(TeamARecordSet, 0, 1) = A228)) + SUM(FILTER(TeamBRecordSet, INDEX(TeamBRecordSet, 0, 1) = A228))"),0.0)</f>
        <v>0</v>
      </c>
      <c r="J228" s="2">
        <f t="shared" si="2"/>
        <v>0</v>
      </c>
      <c r="K228" s="2" t="str">
        <f t="shared" si="3"/>
        <v/>
      </c>
    </row>
    <row r="229">
      <c r="A229" s="2"/>
      <c r="B229" s="7"/>
      <c r="D229" s="5" t="str">
        <f>IF(A229 = "", "", COUNTIFS('Game Record'!G:G, A229, 'Game Record'!E:E, C229))</f>
        <v/>
      </c>
      <c r="E229" s="6" t="str">
        <f>IF(A229 = "", "", COUNTIFS('Game Record'!H:H, A229, 'Game Record'!E:E, C229))</f>
        <v/>
      </c>
      <c r="F229" s="2">
        <f t="shared" si="1"/>
        <v>0</v>
      </c>
      <c r="G229" s="1" t="str">
        <f>IF(A229 = "", "", COUNTIF('Game Record'!G:G, A229))</f>
        <v/>
      </c>
      <c r="H229" s="6" t="str">
        <f>IF(A229 = "", "", COUNTIF('Game Record'!H:H, A229))</f>
        <v/>
      </c>
      <c r="I229" s="2">
        <f>IFERROR(__xludf.DUMMYFUNCTION("SUM(FILTER(TeamARecordSet, INDEX(TeamARecordSet, 0, 1) = A229)) + SUM(FILTER(TeamBRecordSet, INDEX(TeamBRecordSet, 0, 1) = A229))"),0.0)</f>
        <v>0</v>
      </c>
      <c r="J229" s="2">
        <f t="shared" si="2"/>
        <v>0</v>
      </c>
      <c r="K229" s="2" t="str">
        <f t="shared" si="3"/>
        <v/>
      </c>
    </row>
    <row r="230">
      <c r="A230" s="2"/>
      <c r="B230" s="7"/>
      <c r="D230" s="5" t="str">
        <f>IF(A230 = "", "", COUNTIFS('Game Record'!G:G, A230, 'Game Record'!E:E, C230))</f>
        <v/>
      </c>
      <c r="E230" s="6" t="str">
        <f>IF(A230 = "", "", COUNTIFS('Game Record'!H:H, A230, 'Game Record'!E:E, C230))</f>
        <v/>
      </c>
      <c r="F230" s="2">
        <f t="shared" si="1"/>
        <v>0</v>
      </c>
      <c r="G230" s="1" t="str">
        <f>IF(A230 = "", "", COUNTIF('Game Record'!G:G, A230))</f>
        <v/>
      </c>
      <c r="H230" s="6" t="str">
        <f>IF(A230 = "", "", COUNTIF('Game Record'!H:H, A230))</f>
        <v/>
      </c>
      <c r="I230" s="2">
        <f>IFERROR(__xludf.DUMMYFUNCTION("SUM(FILTER(TeamARecordSet, INDEX(TeamARecordSet, 0, 1) = A230)) + SUM(FILTER(TeamBRecordSet, INDEX(TeamBRecordSet, 0, 1) = A230))"),0.0)</f>
        <v>0</v>
      </c>
      <c r="J230" s="2">
        <f t="shared" si="2"/>
        <v>0</v>
      </c>
      <c r="K230" s="2" t="str">
        <f t="shared" si="3"/>
        <v/>
      </c>
    </row>
    <row r="231">
      <c r="A231" s="2"/>
      <c r="B231" s="7"/>
      <c r="D231" s="5" t="str">
        <f>IF(A231 = "", "", COUNTIFS('Game Record'!G:G, A231, 'Game Record'!E:E, C231))</f>
        <v/>
      </c>
      <c r="E231" s="6" t="str">
        <f>IF(A231 = "", "", COUNTIFS('Game Record'!H:H, A231, 'Game Record'!E:E, C231))</f>
        <v/>
      </c>
      <c r="F231" s="2">
        <f t="shared" si="1"/>
        <v>0</v>
      </c>
      <c r="G231" s="1" t="str">
        <f>IF(A231 = "", "", COUNTIF('Game Record'!G:G, A231))</f>
        <v/>
      </c>
      <c r="H231" s="6" t="str">
        <f>IF(A231 = "", "", COUNTIF('Game Record'!H:H, A231))</f>
        <v/>
      </c>
      <c r="I231" s="2">
        <f>IFERROR(__xludf.DUMMYFUNCTION("SUM(FILTER(TeamARecordSet, INDEX(TeamARecordSet, 0, 1) = A231)) + SUM(FILTER(TeamBRecordSet, INDEX(TeamBRecordSet, 0, 1) = A231))"),0.0)</f>
        <v>0</v>
      </c>
      <c r="J231" s="2">
        <f t="shared" si="2"/>
        <v>0</v>
      </c>
      <c r="K231" s="2" t="str">
        <f t="shared" si="3"/>
        <v/>
      </c>
    </row>
    <row r="232">
      <c r="A232" s="2"/>
      <c r="B232" s="7"/>
      <c r="D232" s="5" t="str">
        <f>IF(A232 = "", "", COUNTIFS('Game Record'!G:G, A232, 'Game Record'!E:E, C232))</f>
        <v/>
      </c>
      <c r="E232" s="6" t="str">
        <f>IF(A232 = "", "", COUNTIFS('Game Record'!H:H, A232, 'Game Record'!E:E, C232))</f>
        <v/>
      </c>
      <c r="F232" s="2">
        <f t="shared" si="1"/>
        <v>0</v>
      </c>
      <c r="G232" s="1" t="str">
        <f>IF(A232 = "", "", COUNTIF('Game Record'!G:G, A232))</f>
        <v/>
      </c>
      <c r="H232" s="6" t="str">
        <f>IF(A232 = "", "", COUNTIF('Game Record'!H:H, A232))</f>
        <v/>
      </c>
      <c r="I232" s="2">
        <f>IFERROR(__xludf.DUMMYFUNCTION("SUM(FILTER(TeamARecordSet, INDEX(TeamARecordSet, 0, 1) = A232)) + SUM(FILTER(TeamBRecordSet, INDEX(TeamBRecordSet, 0, 1) = A232))"),0.0)</f>
        <v>0</v>
      </c>
      <c r="J232" s="2">
        <f t="shared" si="2"/>
        <v>0</v>
      </c>
      <c r="K232" s="2" t="str">
        <f t="shared" si="3"/>
        <v/>
      </c>
    </row>
    <row r="233">
      <c r="A233" s="2"/>
      <c r="B233" s="7"/>
      <c r="D233" s="5" t="str">
        <f>IF(A233 = "", "", COUNTIFS('Game Record'!G:G, A233, 'Game Record'!E:E, C233))</f>
        <v/>
      </c>
      <c r="E233" s="6" t="str">
        <f>IF(A233 = "", "", COUNTIFS('Game Record'!H:H, A233, 'Game Record'!E:E, C233))</f>
        <v/>
      </c>
      <c r="F233" s="2">
        <f t="shared" si="1"/>
        <v>0</v>
      </c>
      <c r="G233" s="1" t="str">
        <f>IF(A233 = "", "", COUNTIF('Game Record'!G:G, A233))</f>
        <v/>
      </c>
      <c r="H233" s="6" t="str">
        <f>IF(A233 = "", "", COUNTIF('Game Record'!H:H, A233))</f>
        <v/>
      </c>
      <c r="I233" s="2">
        <f>IFERROR(__xludf.DUMMYFUNCTION("SUM(FILTER(TeamARecordSet, INDEX(TeamARecordSet, 0, 1) = A233)) + SUM(FILTER(TeamBRecordSet, INDEX(TeamBRecordSet, 0, 1) = A233))"),0.0)</f>
        <v>0</v>
      </c>
      <c r="J233" s="2">
        <f t="shared" si="2"/>
        <v>0</v>
      </c>
      <c r="K233" s="2" t="str">
        <f t="shared" si="3"/>
        <v/>
      </c>
    </row>
    <row r="234">
      <c r="A234" s="2"/>
      <c r="B234" s="7"/>
      <c r="D234" s="5" t="str">
        <f>IF(A234 = "", "", COUNTIFS('Game Record'!G:G, A234, 'Game Record'!E:E, C234))</f>
        <v/>
      </c>
      <c r="E234" s="6" t="str">
        <f>IF(A234 = "", "", COUNTIFS('Game Record'!H:H, A234, 'Game Record'!E:E, C234))</f>
        <v/>
      </c>
      <c r="F234" s="2">
        <f t="shared" si="1"/>
        <v>0</v>
      </c>
      <c r="G234" s="1" t="str">
        <f>IF(A234 = "", "", COUNTIF('Game Record'!G:G, A234))</f>
        <v/>
      </c>
      <c r="H234" s="6" t="str">
        <f>IF(A234 = "", "", COUNTIF('Game Record'!H:H, A234))</f>
        <v/>
      </c>
      <c r="I234" s="2">
        <f>IFERROR(__xludf.DUMMYFUNCTION("SUM(FILTER(TeamARecordSet, INDEX(TeamARecordSet, 0, 1) = A234)) + SUM(FILTER(TeamBRecordSet, INDEX(TeamBRecordSet, 0, 1) = A234))"),0.0)</f>
        <v>0</v>
      </c>
      <c r="J234" s="2">
        <f t="shared" si="2"/>
        <v>0</v>
      </c>
      <c r="K234" s="2" t="str">
        <f t="shared" si="3"/>
        <v/>
      </c>
    </row>
    <row r="235">
      <c r="A235" s="2"/>
      <c r="B235" s="7"/>
      <c r="D235" s="5" t="str">
        <f>IF(A235 = "", "", COUNTIFS('Game Record'!G:G, A235, 'Game Record'!E:E, C235))</f>
        <v/>
      </c>
      <c r="E235" s="6" t="str">
        <f>IF(A235 = "", "", COUNTIFS('Game Record'!H:H, A235, 'Game Record'!E:E, C235))</f>
        <v/>
      </c>
      <c r="F235" s="2">
        <f t="shared" si="1"/>
        <v>0</v>
      </c>
      <c r="G235" s="1" t="str">
        <f>IF(A235 = "", "", COUNTIF('Game Record'!G:G, A235))</f>
        <v/>
      </c>
      <c r="H235" s="6" t="str">
        <f>IF(A235 = "", "", COUNTIF('Game Record'!H:H, A235))</f>
        <v/>
      </c>
      <c r="I235" s="2">
        <f>IFERROR(__xludf.DUMMYFUNCTION("SUM(FILTER(TeamARecordSet, INDEX(TeamARecordSet, 0, 1) = A235)) + SUM(FILTER(TeamBRecordSet, INDEX(TeamBRecordSet, 0, 1) = A235))"),0.0)</f>
        <v>0</v>
      </c>
      <c r="J235" s="2">
        <f t="shared" si="2"/>
        <v>0</v>
      </c>
      <c r="K235" s="2" t="str">
        <f t="shared" si="3"/>
        <v/>
      </c>
    </row>
    <row r="236">
      <c r="A236" s="2"/>
      <c r="B236" s="7"/>
      <c r="D236" s="5" t="str">
        <f>IF(A236 = "", "", COUNTIFS('Game Record'!G:G, A236, 'Game Record'!E:E, C236))</f>
        <v/>
      </c>
      <c r="E236" s="6" t="str">
        <f>IF(A236 = "", "", COUNTIFS('Game Record'!H:H, A236, 'Game Record'!E:E, C236))</f>
        <v/>
      </c>
      <c r="F236" s="2">
        <f t="shared" si="1"/>
        <v>0</v>
      </c>
      <c r="G236" s="1" t="str">
        <f>IF(A236 = "", "", COUNTIF('Game Record'!G:G, A236))</f>
        <v/>
      </c>
      <c r="H236" s="6" t="str">
        <f>IF(A236 = "", "", COUNTIF('Game Record'!H:H, A236))</f>
        <v/>
      </c>
      <c r="I236" s="2">
        <f>IFERROR(__xludf.DUMMYFUNCTION("SUM(FILTER(TeamARecordSet, INDEX(TeamARecordSet, 0, 1) = A236)) + SUM(FILTER(TeamBRecordSet, INDEX(TeamBRecordSet, 0, 1) = A236))"),0.0)</f>
        <v>0</v>
      </c>
      <c r="J236" s="2">
        <f t="shared" si="2"/>
        <v>0</v>
      </c>
      <c r="K236" s="2" t="str">
        <f t="shared" si="3"/>
        <v/>
      </c>
    </row>
    <row r="237">
      <c r="A237" s="2"/>
      <c r="B237" s="7"/>
      <c r="D237" s="5" t="str">
        <f>IF(A237 = "", "", COUNTIFS('Game Record'!G:G, A237, 'Game Record'!E:E, C237))</f>
        <v/>
      </c>
      <c r="E237" s="6" t="str">
        <f>IF(A237 = "", "", COUNTIFS('Game Record'!H:H, A237, 'Game Record'!E:E, C237))</f>
        <v/>
      </c>
      <c r="F237" s="2">
        <f t="shared" si="1"/>
        <v>0</v>
      </c>
      <c r="G237" s="1" t="str">
        <f>IF(A237 = "", "", COUNTIF('Game Record'!G:G, A237))</f>
        <v/>
      </c>
      <c r="H237" s="6" t="str">
        <f>IF(A237 = "", "", COUNTIF('Game Record'!H:H, A237))</f>
        <v/>
      </c>
      <c r="I237" s="2">
        <f>IFERROR(__xludf.DUMMYFUNCTION("SUM(FILTER(TeamARecordSet, INDEX(TeamARecordSet, 0, 1) = A237)) + SUM(FILTER(TeamBRecordSet, INDEX(TeamBRecordSet, 0, 1) = A237))"),0.0)</f>
        <v>0</v>
      </c>
      <c r="J237" s="2">
        <f t="shared" si="2"/>
        <v>0</v>
      </c>
      <c r="K237" s="2" t="str">
        <f t="shared" si="3"/>
        <v/>
      </c>
    </row>
    <row r="238">
      <c r="A238" s="2"/>
      <c r="B238" s="7"/>
      <c r="D238" s="5" t="str">
        <f>IF(A238 = "", "", COUNTIFS('Game Record'!G:G, A238, 'Game Record'!E:E, C238))</f>
        <v/>
      </c>
      <c r="E238" s="6" t="str">
        <f>IF(A238 = "", "", COUNTIFS('Game Record'!H:H, A238, 'Game Record'!E:E, C238))</f>
        <v/>
      </c>
      <c r="F238" s="2">
        <f t="shared" si="1"/>
        <v>0</v>
      </c>
      <c r="G238" s="1" t="str">
        <f>IF(A238 = "", "", COUNTIF('Game Record'!G:G, A238))</f>
        <v/>
      </c>
      <c r="H238" s="6" t="str">
        <f>IF(A238 = "", "", COUNTIF('Game Record'!H:H, A238))</f>
        <v/>
      </c>
      <c r="I238" s="2">
        <f>IFERROR(__xludf.DUMMYFUNCTION("SUM(FILTER(TeamARecordSet, INDEX(TeamARecordSet, 0, 1) = A238)) + SUM(FILTER(TeamBRecordSet, INDEX(TeamBRecordSet, 0, 1) = A238))"),0.0)</f>
        <v>0</v>
      </c>
      <c r="J238" s="2">
        <f t="shared" si="2"/>
        <v>0</v>
      </c>
      <c r="K238" s="2" t="str">
        <f t="shared" si="3"/>
        <v/>
      </c>
    </row>
    <row r="239">
      <c r="A239" s="2"/>
      <c r="B239" s="7"/>
      <c r="D239" s="5" t="str">
        <f>IF(A239 = "", "", COUNTIFS('Game Record'!G:G, A239, 'Game Record'!E:E, C239))</f>
        <v/>
      </c>
      <c r="E239" s="6" t="str">
        <f>IF(A239 = "", "", COUNTIFS('Game Record'!H:H, A239, 'Game Record'!E:E, C239))</f>
        <v/>
      </c>
      <c r="F239" s="2">
        <f t="shared" si="1"/>
        <v>0</v>
      </c>
      <c r="G239" s="1" t="str">
        <f>IF(A239 = "", "", COUNTIF('Game Record'!G:G, A239))</f>
        <v/>
      </c>
      <c r="H239" s="6" t="str">
        <f>IF(A239 = "", "", COUNTIF('Game Record'!H:H, A239))</f>
        <v/>
      </c>
      <c r="I239" s="2">
        <f>IFERROR(__xludf.DUMMYFUNCTION("SUM(FILTER(TeamARecordSet, INDEX(TeamARecordSet, 0, 1) = A239)) + SUM(FILTER(TeamBRecordSet, INDEX(TeamBRecordSet, 0, 1) = A239))"),0.0)</f>
        <v>0</v>
      </c>
      <c r="J239" s="2">
        <f t="shared" si="2"/>
        <v>0</v>
      </c>
      <c r="K239" s="2" t="str">
        <f t="shared" si="3"/>
        <v/>
      </c>
    </row>
    <row r="240">
      <c r="A240" s="2"/>
      <c r="B240" s="7"/>
      <c r="D240" s="5" t="str">
        <f>IF(A240 = "", "", COUNTIFS('Game Record'!G:G, A240, 'Game Record'!E:E, C240))</f>
        <v/>
      </c>
      <c r="E240" s="6" t="str">
        <f>IF(A240 = "", "", COUNTIFS('Game Record'!H:H, A240, 'Game Record'!E:E, C240))</f>
        <v/>
      </c>
      <c r="F240" s="2">
        <f t="shared" si="1"/>
        <v>0</v>
      </c>
      <c r="G240" s="1" t="str">
        <f>IF(A240 = "", "", COUNTIF('Game Record'!G:G, A240))</f>
        <v/>
      </c>
      <c r="H240" s="6" t="str">
        <f>IF(A240 = "", "", COUNTIF('Game Record'!H:H, A240))</f>
        <v/>
      </c>
      <c r="I240" s="2">
        <f>IFERROR(__xludf.DUMMYFUNCTION("SUM(FILTER(TeamARecordSet, INDEX(TeamARecordSet, 0, 1) = A240)) + SUM(FILTER(TeamBRecordSet, INDEX(TeamBRecordSet, 0, 1) = A240))"),0.0)</f>
        <v>0</v>
      </c>
      <c r="J240" s="2">
        <f t="shared" si="2"/>
        <v>0</v>
      </c>
      <c r="K240" s="2" t="str">
        <f t="shared" si="3"/>
        <v/>
      </c>
    </row>
    <row r="241">
      <c r="A241" s="2"/>
      <c r="B241" s="7"/>
      <c r="D241" s="5" t="str">
        <f>IF(A241 = "", "", COUNTIFS('Game Record'!G:G, A241, 'Game Record'!E:E, C241))</f>
        <v/>
      </c>
      <c r="E241" s="6" t="str">
        <f>IF(A241 = "", "", COUNTIFS('Game Record'!H:H, A241, 'Game Record'!E:E, C241))</f>
        <v/>
      </c>
      <c r="F241" s="2">
        <f t="shared" si="1"/>
        <v>0</v>
      </c>
      <c r="G241" s="1" t="str">
        <f>IF(A241 = "", "", COUNTIF('Game Record'!G:G, A241))</f>
        <v/>
      </c>
      <c r="H241" s="6" t="str">
        <f>IF(A241 = "", "", COUNTIF('Game Record'!H:H, A241))</f>
        <v/>
      </c>
      <c r="I241" s="2">
        <f>IFERROR(__xludf.DUMMYFUNCTION("SUM(FILTER(TeamARecordSet, INDEX(TeamARecordSet, 0, 1) = A241)) + SUM(FILTER(TeamBRecordSet, INDEX(TeamBRecordSet, 0, 1) = A241))"),0.0)</f>
        <v>0</v>
      </c>
      <c r="J241" s="2">
        <f t="shared" si="2"/>
        <v>0</v>
      </c>
      <c r="K241" s="2" t="str">
        <f t="shared" si="3"/>
        <v/>
      </c>
    </row>
    <row r="242">
      <c r="A242" s="2"/>
      <c r="B242" s="7"/>
      <c r="D242" s="5" t="str">
        <f>IF(A242 = "", "", COUNTIFS('Game Record'!G:G, A242, 'Game Record'!E:E, C242))</f>
        <v/>
      </c>
      <c r="E242" s="6" t="str">
        <f>IF(A242 = "", "", COUNTIFS('Game Record'!H:H, A242, 'Game Record'!E:E, C242))</f>
        <v/>
      </c>
      <c r="F242" s="2">
        <f t="shared" si="1"/>
        <v>0</v>
      </c>
      <c r="G242" s="1" t="str">
        <f>IF(A242 = "", "", COUNTIF('Game Record'!G:G, A242))</f>
        <v/>
      </c>
      <c r="H242" s="6" t="str">
        <f>IF(A242 = "", "", COUNTIF('Game Record'!H:H, A242))</f>
        <v/>
      </c>
      <c r="I242" s="2">
        <f>IFERROR(__xludf.DUMMYFUNCTION("SUM(FILTER(TeamARecordSet, INDEX(TeamARecordSet, 0, 1) = A242)) + SUM(FILTER(TeamBRecordSet, INDEX(TeamBRecordSet, 0, 1) = A242))"),0.0)</f>
        <v>0</v>
      </c>
      <c r="J242" s="2">
        <f t="shared" si="2"/>
        <v>0</v>
      </c>
      <c r="K242" s="2" t="str">
        <f t="shared" si="3"/>
        <v/>
      </c>
    </row>
    <row r="243">
      <c r="A243" s="2"/>
      <c r="B243" s="7"/>
      <c r="D243" s="5" t="str">
        <f>IF(A243 = "", "", COUNTIFS('Game Record'!G:G, A243, 'Game Record'!E:E, C243))</f>
        <v/>
      </c>
      <c r="E243" s="6" t="str">
        <f>IF(A243 = "", "", COUNTIFS('Game Record'!H:H, A243, 'Game Record'!E:E, C243))</f>
        <v/>
      </c>
      <c r="F243" s="2">
        <f t="shared" si="1"/>
        <v>0</v>
      </c>
      <c r="G243" s="1" t="str">
        <f>IF(A243 = "", "", COUNTIF('Game Record'!G:G, A243))</f>
        <v/>
      </c>
      <c r="H243" s="6" t="str">
        <f>IF(A243 = "", "", COUNTIF('Game Record'!H:H, A243))</f>
        <v/>
      </c>
      <c r="I243" s="2">
        <f>IFERROR(__xludf.DUMMYFUNCTION("SUM(FILTER(TeamARecordSet, INDEX(TeamARecordSet, 0, 1) = A243)) + SUM(FILTER(TeamBRecordSet, INDEX(TeamBRecordSet, 0, 1) = A243))"),0.0)</f>
        <v>0</v>
      </c>
      <c r="J243" s="2">
        <f t="shared" si="2"/>
        <v>0</v>
      </c>
      <c r="K243" s="2" t="str">
        <f t="shared" si="3"/>
        <v/>
      </c>
    </row>
    <row r="244">
      <c r="A244" s="2"/>
      <c r="B244" s="7"/>
      <c r="D244" s="5" t="str">
        <f>IF(A244 = "", "", COUNTIFS('Game Record'!G:G, A244, 'Game Record'!E:E, C244))</f>
        <v/>
      </c>
      <c r="E244" s="6" t="str">
        <f>IF(A244 = "", "", COUNTIFS('Game Record'!H:H, A244, 'Game Record'!E:E, C244))</f>
        <v/>
      </c>
      <c r="F244" s="2">
        <f t="shared" si="1"/>
        <v>0</v>
      </c>
      <c r="G244" s="1" t="str">
        <f>IF(A244 = "", "", COUNTIF('Game Record'!G:G, A244))</f>
        <v/>
      </c>
      <c r="H244" s="6" t="str">
        <f>IF(A244 = "", "", COUNTIF('Game Record'!H:H, A244))</f>
        <v/>
      </c>
      <c r="I244" s="2">
        <f>IFERROR(__xludf.DUMMYFUNCTION("SUM(FILTER(TeamARecordSet, INDEX(TeamARecordSet, 0, 1) = A244)) + SUM(FILTER(TeamBRecordSet, INDEX(TeamBRecordSet, 0, 1) = A244))"),0.0)</f>
        <v>0</v>
      </c>
      <c r="J244" s="2">
        <f t="shared" si="2"/>
        <v>0</v>
      </c>
      <c r="K244" s="2" t="str">
        <f t="shared" si="3"/>
        <v/>
      </c>
    </row>
    <row r="245">
      <c r="A245" s="2"/>
      <c r="B245" s="7"/>
      <c r="D245" s="5" t="str">
        <f>IF(A245 = "", "", COUNTIFS('Game Record'!G:G, A245, 'Game Record'!E:E, C245))</f>
        <v/>
      </c>
      <c r="E245" s="6" t="str">
        <f>IF(A245 = "", "", COUNTIFS('Game Record'!H:H, A245, 'Game Record'!E:E, C245))</f>
        <v/>
      </c>
      <c r="F245" s="2">
        <f t="shared" si="1"/>
        <v>0</v>
      </c>
      <c r="G245" s="1" t="str">
        <f>IF(A245 = "", "", COUNTIF('Game Record'!G:G, A245))</f>
        <v/>
      </c>
      <c r="H245" s="6" t="str">
        <f>IF(A245 = "", "", COUNTIF('Game Record'!H:H, A245))</f>
        <v/>
      </c>
      <c r="I245" s="2">
        <f>IFERROR(__xludf.DUMMYFUNCTION("SUM(FILTER(TeamARecordSet, INDEX(TeamARecordSet, 0, 1) = A245)) + SUM(FILTER(TeamBRecordSet, INDEX(TeamBRecordSet, 0, 1) = A245))"),0.0)</f>
        <v>0</v>
      </c>
      <c r="J245" s="2">
        <f t="shared" si="2"/>
        <v>0</v>
      </c>
      <c r="K245" s="2" t="str">
        <f t="shared" si="3"/>
        <v/>
      </c>
    </row>
    <row r="246">
      <c r="A246" s="2"/>
      <c r="B246" s="7"/>
      <c r="D246" s="5" t="str">
        <f>IF(A246 = "", "", COUNTIFS('Game Record'!G:G, A246, 'Game Record'!E:E, C246))</f>
        <v/>
      </c>
      <c r="E246" s="6" t="str">
        <f>IF(A246 = "", "", COUNTIFS('Game Record'!H:H, A246, 'Game Record'!E:E, C246))</f>
        <v/>
      </c>
      <c r="F246" s="2">
        <f t="shared" si="1"/>
        <v>0</v>
      </c>
      <c r="G246" s="1" t="str">
        <f>IF(A246 = "", "", COUNTIF('Game Record'!G:G, A246))</f>
        <v/>
      </c>
      <c r="H246" s="6" t="str">
        <f>IF(A246 = "", "", COUNTIF('Game Record'!H:H, A246))</f>
        <v/>
      </c>
      <c r="I246" s="2">
        <f>IFERROR(__xludf.DUMMYFUNCTION("SUM(FILTER(TeamARecordSet, INDEX(TeamARecordSet, 0, 1) = A246)) + SUM(FILTER(TeamBRecordSet, INDEX(TeamBRecordSet, 0, 1) = A246))"),0.0)</f>
        <v>0</v>
      </c>
      <c r="J246" s="2">
        <f t="shared" si="2"/>
        <v>0</v>
      </c>
      <c r="K246" s="2" t="str">
        <f t="shared" si="3"/>
        <v/>
      </c>
    </row>
    <row r="247">
      <c r="A247" s="2"/>
      <c r="B247" s="7"/>
      <c r="D247" s="5" t="str">
        <f>IF(A247 = "", "", COUNTIFS('Game Record'!G:G, A247, 'Game Record'!E:E, C247))</f>
        <v/>
      </c>
      <c r="E247" s="6" t="str">
        <f>IF(A247 = "", "", COUNTIFS('Game Record'!H:H, A247, 'Game Record'!E:E, C247))</f>
        <v/>
      </c>
      <c r="F247" s="2">
        <f t="shared" si="1"/>
        <v>0</v>
      </c>
      <c r="G247" s="1" t="str">
        <f>IF(A247 = "", "", COUNTIF('Game Record'!G:G, A247))</f>
        <v/>
      </c>
      <c r="H247" s="6" t="str">
        <f>IF(A247 = "", "", COUNTIF('Game Record'!H:H, A247))</f>
        <v/>
      </c>
      <c r="I247" s="2">
        <f>IFERROR(__xludf.DUMMYFUNCTION("SUM(FILTER(TeamARecordSet, INDEX(TeamARecordSet, 0, 1) = A247)) + SUM(FILTER(TeamBRecordSet, INDEX(TeamBRecordSet, 0, 1) = A247))"),0.0)</f>
        <v>0</v>
      </c>
      <c r="J247" s="2">
        <f t="shared" si="2"/>
        <v>0</v>
      </c>
      <c r="K247" s="2" t="str">
        <f t="shared" si="3"/>
        <v/>
      </c>
    </row>
    <row r="248">
      <c r="A248" s="2"/>
      <c r="B248" s="7"/>
      <c r="D248" s="5" t="str">
        <f>IF(A248 = "", "", COUNTIFS('Game Record'!G:G, A248, 'Game Record'!E:E, C248))</f>
        <v/>
      </c>
      <c r="E248" s="6" t="str">
        <f>IF(A248 = "", "", COUNTIFS('Game Record'!H:H, A248, 'Game Record'!E:E, C248))</f>
        <v/>
      </c>
      <c r="F248" s="2">
        <f t="shared" si="1"/>
        <v>0</v>
      </c>
      <c r="G248" s="1" t="str">
        <f>IF(A248 = "", "", COUNTIF('Game Record'!G:G, A248))</f>
        <v/>
      </c>
      <c r="H248" s="6" t="str">
        <f>IF(A248 = "", "", COUNTIF('Game Record'!H:H, A248))</f>
        <v/>
      </c>
      <c r="I248" s="2">
        <f>IFERROR(__xludf.DUMMYFUNCTION("SUM(FILTER(TeamARecordSet, INDEX(TeamARecordSet, 0, 1) = A248)) + SUM(FILTER(TeamBRecordSet, INDEX(TeamBRecordSet, 0, 1) = A248))"),0.0)</f>
        <v>0</v>
      </c>
      <c r="J248" s="2">
        <f t="shared" si="2"/>
        <v>0</v>
      </c>
      <c r="K248" s="2" t="str">
        <f t="shared" si="3"/>
        <v/>
      </c>
    </row>
    <row r="249">
      <c r="A249" s="2"/>
      <c r="B249" s="7"/>
      <c r="D249" s="5" t="str">
        <f>IF(A249 = "", "", COUNTIFS('Game Record'!G:G, A249, 'Game Record'!E:E, C249))</f>
        <v/>
      </c>
      <c r="E249" s="6" t="str">
        <f>IF(A249 = "", "", COUNTIFS('Game Record'!H:H, A249, 'Game Record'!E:E, C249))</f>
        <v/>
      </c>
      <c r="F249" s="2">
        <f t="shared" si="1"/>
        <v>0</v>
      </c>
      <c r="G249" s="1" t="str">
        <f>IF(A249 = "", "", COUNTIF('Game Record'!G:G, A249))</f>
        <v/>
      </c>
      <c r="H249" s="6" t="str">
        <f>IF(A249 = "", "", COUNTIF('Game Record'!H:H, A249))</f>
        <v/>
      </c>
      <c r="I249" s="2">
        <f>IFERROR(__xludf.DUMMYFUNCTION("SUM(FILTER(TeamARecordSet, INDEX(TeamARecordSet, 0, 1) = A249)) + SUM(FILTER(TeamBRecordSet, INDEX(TeamBRecordSet, 0, 1) = A249))"),0.0)</f>
        <v>0</v>
      </c>
      <c r="J249" s="2">
        <f t="shared" si="2"/>
        <v>0</v>
      </c>
      <c r="K249" s="2" t="str">
        <f t="shared" si="3"/>
        <v/>
      </c>
    </row>
    <row r="250">
      <c r="A250" s="2"/>
      <c r="B250" s="7"/>
      <c r="D250" s="5" t="str">
        <f>IF(A250 = "", "", COUNTIFS('Game Record'!G:G, A250, 'Game Record'!E:E, C250))</f>
        <v/>
      </c>
      <c r="E250" s="6" t="str">
        <f>IF(A250 = "", "", COUNTIFS('Game Record'!H:H, A250, 'Game Record'!E:E, C250))</f>
        <v/>
      </c>
      <c r="F250" s="2">
        <f t="shared" si="1"/>
        <v>0</v>
      </c>
      <c r="G250" s="1" t="str">
        <f>IF(A250 = "", "", COUNTIF('Game Record'!G:G, A250))</f>
        <v/>
      </c>
      <c r="H250" s="6" t="str">
        <f>IF(A250 = "", "", COUNTIF('Game Record'!H:H, A250))</f>
        <v/>
      </c>
      <c r="I250" s="2">
        <f>IFERROR(__xludf.DUMMYFUNCTION("SUM(FILTER(TeamARecordSet, INDEX(TeamARecordSet, 0, 1) = A250)) + SUM(FILTER(TeamBRecordSet, INDEX(TeamBRecordSet, 0, 1) = A250))"),0.0)</f>
        <v>0</v>
      </c>
      <c r="J250" s="2">
        <f t="shared" si="2"/>
        <v>0</v>
      </c>
      <c r="K250" s="2" t="str">
        <f t="shared" si="3"/>
        <v/>
      </c>
    </row>
    <row r="251">
      <c r="A251" s="2"/>
      <c r="B251" s="7"/>
      <c r="D251" s="5" t="str">
        <f>IF(A251 = "", "", COUNTIFS('Game Record'!G:G, A251, 'Game Record'!E:E, C251))</f>
        <v/>
      </c>
      <c r="E251" s="6" t="str">
        <f>IF(A251 = "", "", COUNTIFS('Game Record'!H:H, A251, 'Game Record'!E:E, C251))</f>
        <v/>
      </c>
      <c r="F251" s="2">
        <f t="shared" si="1"/>
        <v>0</v>
      </c>
      <c r="G251" s="1" t="str">
        <f>IF(A251 = "", "", COUNTIF('Game Record'!G:G, A251))</f>
        <v/>
      </c>
      <c r="H251" s="6" t="str">
        <f>IF(A251 = "", "", COUNTIF('Game Record'!H:H, A251))</f>
        <v/>
      </c>
      <c r="I251" s="2">
        <f>IFERROR(__xludf.DUMMYFUNCTION("SUM(FILTER(TeamARecordSet, INDEX(TeamARecordSet, 0, 1) = A251)) + SUM(FILTER(TeamBRecordSet, INDEX(TeamBRecordSet, 0, 1) = A251))"),0.0)</f>
        <v>0</v>
      </c>
      <c r="J251" s="2">
        <f t="shared" si="2"/>
        <v>0</v>
      </c>
      <c r="K251" s="2" t="str">
        <f t="shared" si="3"/>
        <v/>
      </c>
    </row>
    <row r="252">
      <c r="A252" s="2"/>
      <c r="B252" s="7"/>
      <c r="D252" s="5" t="str">
        <f>IF(A252 = "", "", COUNTIFS('Game Record'!G:G, A252, 'Game Record'!E:E, C252))</f>
        <v/>
      </c>
      <c r="E252" s="6" t="str">
        <f>IF(A252 = "", "", COUNTIFS('Game Record'!H:H, A252, 'Game Record'!E:E, C252))</f>
        <v/>
      </c>
      <c r="F252" s="2">
        <f t="shared" si="1"/>
        <v>0</v>
      </c>
      <c r="G252" s="1" t="str">
        <f>IF(A252 = "", "", COUNTIF('Game Record'!G:G, A252))</f>
        <v/>
      </c>
      <c r="H252" s="6" t="str">
        <f>IF(A252 = "", "", COUNTIF('Game Record'!H:H, A252))</f>
        <v/>
      </c>
      <c r="I252" s="2">
        <f>IFERROR(__xludf.DUMMYFUNCTION("SUM(FILTER(TeamARecordSet, INDEX(TeamARecordSet, 0, 1) = A252)) + SUM(FILTER(TeamBRecordSet, INDEX(TeamBRecordSet, 0, 1) = A252))"),0.0)</f>
        <v>0</v>
      </c>
      <c r="J252" s="2">
        <f t="shared" si="2"/>
        <v>0</v>
      </c>
      <c r="K252" s="2" t="str">
        <f t="shared" si="3"/>
        <v/>
      </c>
    </row>
    <row r="253">
      <c r="A253" s="2"/>
      <c r="B253" s="7"/>
      <c r="D253" s="5" t="str">
        <f>IF(A253 = "", "", COUNTIFS('Game Record'!G:G, A253, 'Game Record'!E:E, C253))</f>
        <v/>
      </c>
      <c r="E253" s="6" t="str">
        <f>IF(A253 = "", "", COUNTIFS('Game Record'!H:H, A253, 'Game Record'!E:E, C253))</f>
        <v/>
      </c>
      <c r="F253" s="2">
        <f t="shared" si="1"/>
        <v>0</v>
      </c>
      <c r="G253" s="1" t="str">
        <f>IF(A253 = "", "", COUNTIF('Game Record'!G:G, A253))</f>
        <v/>
      </c>
      <c r="H253" s="6" t="str">
        <f>IF(A253 = "", "", COUNTIF('Game Record'!H:H, A253))</f>
        <v/>
      </c>
      <c r="I253" s="2">
        <f>IFERROR(__xludf.DUMMYFUNCTION("SUM(FILTER(TeamARecordSet, INDEX(TeamARecordSet, 0, 1) = A253)) + SUM(FILTER(TeamBRecordSet, INDEX(TeamBRecordSet, 0, 1) = A253))"),0.0)</f>
        <v>0</v>
      </c>
      <c r="J253" s="2">
        <f t="shared" si="2"/>
        <v>0</v>
      </c>
      <c r="K253" s="2" t="str">
        <f t="shared" si="3"/>
        <v/>
      </c>
    </row>
    <row r="254">
      <c r="A254" s="2"/>
      <c r="B254" s="7"/>
      <c r="D254" s="5" t="str">
        <f>IF(A254 = "", "", COUNTIFS('Game Record'!G:G, A254, 'Game Record'!E:E, C254))</f>
        <v/>
      </c>
      <c r="E254" s="6" t="str">
        <f>IF(A254 = "", "", COUNTIFS('Game Record'!H:H, A254, 'Game Record'!E:E, C254))</f>
        <v/>
      </c>
      <c r="F254" s="2">
        <f t="shared" si="1"/>
        <v>0</v>
      </c>
      <c r="G254" s="1" t="str">
        <f>IF(A254 = "", "", COUNTIF('Game Record'!G:G, A254))</f>
        <v/>
      </c>
      <c r="H254" s="6" t="str">
        <f>IF(A254 = "", "", COUNTIF('Game Record'!H:H, A254))</f>
        <v/>
      </c>
      <c r="I254" s="2">
        <f>IFERROR(__xludf.DUMMYFUNCTION("SUM(FILTER(TeamARecordSet, INDEX(TeamARecordSet, 0, 1) = A254)) + SUM(FILTER(TeamBRecordSet, INDEX(TeamBRecordSet, 0, 1) = A254))"),0.0)</f>
        <v>0</v>
      </c>
      <c r="J254" s="2">
        <f t="shared" si="2"/>
        <v>0</v>
      </c>
      <c r="K254" s="2" t="str">
        <f t="shared" si="3"/>
        <v/>
      </c>
    </row>
    <row r="255">
      <c r="A255" s="2"/>
      <c r="B255" s="7"/>
      <c r="D255" s="5" t="str">
        <f>IF(A255 = "", "", COUNTIFS('Game Record'!G:G, A255, 'Game Record'!E:E, C255))</f>
        <v/>
      </c>
      <c r="E255" s="6" t="str">
        <f>IF(A255 = "", "", COUNTIFS('Game Record'!H:H, A255, 'Game Record'!E:E, C255))</f>
        <v/>
      </c>
      <c r="F255" s="2">
        <f t="shared" si="1"/>
        <v>0</v>
      </c>
      <c r="G255" s="1" t="str">
        <f>IF(A255 = "", "", COUNTIF('Game Record'!G:G, A255))</f>
        <v/>
      </c>
      <c r="H255" s="6" t="str">
        <f>IF(A255 = "", "", COUNTIF('Game Record'!H:H, A255))</f>
        <v/>
      </c>
      <c r="I255" s="2">
        <f>IFERROR(__xludf.DUMMYFUNCTION("SUM(FILTER(TeamARecordSet, INDEX(TeamARecordSet, 0, 1) = A255)) + SUM(FILTER(TeamBRecordSet, INDEX(TeamBRecordSet, 0, 1) = A255))"),0.0)</f>
        <v>0</v>
      </c>
      <c r="J255" s="2">
        <f t="shared" si="2"/>
        <v>0</v>
      </c>
      <c r="K255" s="2" t="str">
        <f t="shared" si="3"/>
        <v/>
      </c>
    </row>
    <row r="256">
      <c r="A256" s="2"/>
      <c r="B256" s="7"/>
      <c r="D256" s="5" t="str">
        <f>IF(A256 = "", "", COUNTIFS('Game Record'!G:G, A256, 'Game Record'!E:E, C256))</f>
        <v/>
      </c>
      <c r="E256" s="6" t="str">
        <f>IF(A256 = "", "", COUNTIFS('Game Record'!H:H, A256, 'Game Record'!E:E, C256))</f>
        <v/>
      </c>
      <c r="F256" s="2">
        <f t="shared" si="1"/>
        <v>0</v>
      </c>
      <c r="G256" s="1" t="str">
        <f>IF(A256 = "", "", COUNTIF('Game Record'!G:G, A256))</f>
        <v/>
      </c>
      <c r="H256" s="6" t="str">
        <f>IF(A256 = "", "", COUNTIF('Game Record'!H:H, A256))</f>
        <v/>
      </c>
      <c r="I256" s="2">
        <f>IFERROR(__xludf.DUMMYFUNCTION("SUM(FILTER(TeamARecordSet, INDEX(TeamARecordSet, 0, 1) = A256)) + SUM(FILTER(TeamBRecordSet, INDEX(TeamBRecordSet, 0, 1) = A256))"),0.0)</f>
        <v>0</v>
      </c>
      <c r="J256" s="2">
        <f t="shared" si="2"/>
        <v>0</v>
      </c>
      <c r="K256" s="2" t="str">
        <f t="shared" si="3"/>
        <v/>
      </c>
    </row>
    <row r="257">
      <c r="A257" s="2"/>
      <c r="B257" s="7"/>
      <c r="D257" s="5" t="str">
        <f>IF(A257 = "", "", COUNTIFS('Game Record'!G:G, A257, 'Game Record'!E:E, C257))</f>
        <v/>
      </c>
      <c r="E257" s="6" t="str">
        <f>IF(A257 = "", "", COUNTIFS('Game Record'!H:H, A257, 'Game Record'!E:E, C257))</f>
        <v/>
      </c>
      <c r="F257" s="2">
        <f t="shared" si="1"/>
        <v>0</v>
      </c>
      <c r="G257" s="1" t="str">
        <f>IF(A257 = "", "", COUNTIF('Game Record'!G:G, A257))</f>
        <v/>
      </c>
      <c r="H257" s="6" t="str">
        <f>IF(A257 = "", "", COUNTIF('Game Record'!H:H, A257))</f>
        <v/>
      </c>
      <c r="I257" s="2">
        <f>IFERROR(__xludf.DUMMYFUNCTION("SUM(FILTER(TeamARecordSet, INDEX(TeamARecordSet, 0, 1) = A257)) + SUM(FILTER(TeamBRecordSet, INDEX(TeamBRecordSet, 0, 1) = A257))"),0.0)</f>
        <v>0</v>
      </c>
      <c r="J257" s="2">
        <f t="shared" si="2"/>
        <v>0</v>
      </c>
      <c r="K257" s="2" t="str">
        <f t="shared" si="3"/>
        <v/>
      </c>
    </row>
    <row r="258">
      <c r="A258" s="2"/>
      <c r="B258" s="7"/>
      <c r="D258" s="5" t="str">
        <f>IF(A258 = "", "", COUNTIFS('Game Record'!G:G, A258, 'Game Record'!E:E, C258))</f>
        <v/>
      </c>
      <c r="E258" s="6" t="str">
        <f>IF(A258 = "", "", COUNTIFS('Game Record'!H:H, A258, 'Game Record'!E:E, C258))</f>
        <v/>
      </c>
      <c r="F258" s="2">
        <f t="shared" si="1"/>
        <v>0</v>
      </c>
      <c r="G258" s="1" t="str">
        <f>IF(A258 = "", "", COUNTIF('Game Record'!G:G, A258))</f>
        <v/>
      </c>
      <c r="H258" s="6" t="str">
        <f>IF(A258 = "", "", COUNTIF('Game Record'!H:H, A258))</f>
        <v/>
      </c>
      <c r="I258" s="2">
        <f>IFERROR(__xludf.DUMMYFUNCTION("SUM(FILTER(TeamARecordSet, INDEX(TeamARecordSet, 0, 1) = A258)) + SUM(FILTER(TeamBRecordSet, INDEX(TeamBRecordSet, 0, 1) = A258))"),0.0)</f>
        <v>0</v>
      </c>
      <c r="J258" s="2">
        <f t="shared" si="2"/>
        <v>0</v>
      </c>
      <c r="K258" s="2" t="str">
        <f t="shared" si="3"/>
        <v/>
      </c>
    </row>
    <row r="259">
      <c r="A259" s="2"/>
      <c r="B259" s="7"/>
      <c r="D259" s="5" t="str">
        <f>IF(A259 = "", "", COUNTIFS('Game Record'!G:G, A259, 'Game Record'!E:E, C259))</f>
        <v/>
      </c>
      <c r="E259" s="6" t="str">
        <f>IF(A259 = "", "", COUNTIFS('Game Record'!H:H, A259, 'Game Record'!E:E, C259))</f>
        <v/>
      </c>
      <c r="F259" s="2">
        <f t="shared" si="1"/>
        <v>0</v>
      </c>
      <c r="G259" s="1" t="str">
        <f>IF(A259 = "", "", COUNTIF('Game Record'!G:G, A259))</f>
        <v/>
      </c>
      <c r="H259" s="6" t="str">
        <f>IF(A259 = "", "", COUNTIF('Game Record'!H:H, A259))</f>
        <v/>
      </c>
      <c r="I259" s="2">
        <f>IFERROR(__xludf.DUMMYFUNCTION("SUM(FILTER(TeamARecordSet, INDEX(TeamARecordSet, 0, 1) = A259)) + SUM(FILTER(TeamBRecordSet, INDEX(TeamBRecordSet, 0, 1) = A259))"),0.0)</f>
        <v>0</v>
      </c>
      <c r="J259" s="2">
        <f t="shared" si="2"/>
        <v>0</v>
      </c>
      <c r="K259" s="2" t="str">
        <f t="shared" si="3"/>
        <v/>
      </c>
    </row>
    <row r="260">
      <c r="A260" s="2"/>
      <c r="B260" s="7"/>
      <c r="D260" s="5" t="str">
        <f>IF(A260 = "", "", COUNTIFS('Game Record'!G:G, A260, 'Game Record'!E:E, C260))</f>
        <v/>
      </c>
      <c r="E260" s="6" t="str">
        <f>IF(A260 = "", "", COUNTIFS('Game Record'!H:H, A260, 'Game Record'!E:E, C260))</f>
        <v/>
      </c>
      <c r="F260" s="2">
        <f t="shared" si="1"/>
        <v>0</v>
      </c>
      <c r="G260" s="1" t="str">
        <f>IF(A260 = "", "", COUNTIF('Game Record'!G:G, A260))</f>
        <v/>
      </c>
      <c r="H260" s="6" t="str">
        <f>IF(A260 = "", "", COUNTIF('Game Record'!H:H, A260))</f>
        <v/>
      </c>
      <c r="I260" s="2">
        <f>IFERROR(__xludf.DUMMYFUNCTION("SUM(FILTER(TeamARecordSet, INDEX(TeamARecordSet, 0, 1) = A260)) + SUM(FILTER(TeamBRecordSet, INDEX(TeamBRecordSet, 0, 1) = A260))"),0.0)</f>
        <v>0</v>
      </c>
      <c r="J260" s="2">
        <f t="shared" si="2"/>
        <v>0</v>
      </c>
      <c r="K260" s="2" t="str">
        <f t="shared" si="3"/>
        <v/>
      </c>
    </row>
    <row r="261">
      <c r="A261" s="2"/>
      <c r="B261" s="7"/>
      <c r="D261" s="5" t="str">
        <f>IF(A261 = "", "", COUNTIFS('Game Record'!G:G, A261, 'Game Record'!E:E, C261))</f>
        <v/>
      </c>
      <c r="E261" s="6" t="str">
        <f>IF(A261 = "", "", COUNTIFS('Game Record'!H:H, A261, 'Game Record'!E:E, C261))</f>
        <v/>
      </c>
      <c r="F261" s="2">
        <f t="shared" si="1"/>
        <v>0</v>
      </c>
      <c r="G261" s="1" t="str">
        <f>IF(A261 = "", "", COUNTIF('Game Record'!G:G, A261))</f>
        <v/>
      </c>
      <c r="H261" s="6" t="str">
        <f>IF(A261 = "", "", COUNTIF('Game Record'!H:H, A261))</f>
        <v/>
      </c>
      <c r="I261" s="2">
        <f>IFERROR(__xludf.DUMMYFUNCTION("SUM(FILTER(TeamARecordSet, INDEX(TeamARecordSet, 0, 1) = A261)) + SUM(FILTER(TeamBRecordSet, INDEX(TeamBRecordSet, 0, 1) = A261))"),0.0)</f>
        <v>0</v>
      </c>
      <c r="J261" s="2">
        <f t="shared" si="2"/>
        <v>0</v>
      </c>
      <c r="K261" s="2" t="str">
        <f t="shared" si="3"/>
        <v/>
      </c>
    </row>
    <row r="262">
      <c r="A262" s="2"/>
      <c r="B262" s="7"/>
      <c r="D262" s="5" t="str">
        <f>IF(A262 = "", "", COUNTIFS('Game Record'!G:G, A262, 'Game Record'!E:E, C262))</f>
        <v/>
      </c>
      <c r="E262" s="6" t="str">
        <f>IF(A262 = "", "", COUNTIFS('Game Record'!H:H, A262, 'Game Record'!E:E, C262))</f>
        <v/>
      </c>
      <c r="F262" s="2">
        <f t="shared" si="1"/>
        <v>0</v>
      </c>
      <c r="G262" s="1" t="str">
        <f>IF(A262 = "", "", COUNTIF('Game Record'!G:G, A262))</f>
        <v/>
      </c>
      <c r="H262" s="6" t="str">
        <f>IF(A262 = "", "", COUNTIF('Game Record'!H:H, A262))</f>
        <v/>
      </c>
      <c r="I262" s="2">
        <f>IFERROR(__xludf.DUMMYFUNCTION("SUM(FILTER(TeamARecordSet, INDEX(TeamARecordSet, 0, 1) = A262)) + SUM(FILTER(TeamBRecordSet, INDEX(TeamBRecordSet, 0, 1) = A262))"),0.0)</f>
        <v>0</v>
      </c>
      <c r="J262" s="2">
        <f t="shared" si="2"/>
        <v>0</v>
      </c>
      <c r="K262" s="2" t="str">
        <f t="shared" si="3"/>
        <v/>
      </c>
    </row>
    <row r="263">
      <c r="A263" s="2"/>
      <c r="B263" s="7"/>
      <c r="D263" s="5" t="str">
        <f>IF(A263 = "", "", COUNTIFS('Game Record'!G:G, A263, 'Game Record'!E:E, C263))</f>
        <v/>
      </c>
      <c r="E263" s="6" t="str">
        <f>IF(A263 = "", "", COUNTIFS('Game Record'!H:H, A263, 'Game Record'!E:E, C263))</f>
        <v/>
      </c>
      <c r="F263" s="2">
        <f t="shared" si="1"/>
        <v>0</v>
      </c>
      <c r="G263" s="1" t="str">
        <f>IF(A263 = "", "", COUNTIF('Game Record'!G:G, A263))</f>
        <v/>
      </c>
      <c r="H263" s="6" t="str">
        <f>IF(A263 = "", "", COUNTIF('Game Record'!H:H, A263))</f>
        <v/>
      </c>
      <c r="I263" s="2">
        <f>IFERROR(__xludf.DUMMYFUNCTION("SUM(FILTER(TeamARecordSet, INDEX(TeamARecordSet, 0, 1) = A263)) + SUM(FILTER(TeamBRecordSet, INDEX(TeamBRecordSet, 0, 1) = A263))"),0.0)</f>
        <v>0</v>
      </c>
      <c r="J263" s="2">
        <f t="shared" si="2"/>
        <v>0</v>
      </c>
      <c r="K263" s="2" t="str">
        <f t="shared" si="3"/>
        <v/>
      </c>
    </row>
    <row r="264">
      <c r="A264" s="2"/>
      <c r="B264" s="7"/>
      <c r="D264" s="5" t="str">
        <f>IF(A264 = "", "", COUNTIFS('Game Record'!G:G, A264, 'Game Record'!E:E, C264))</f>
        <v/>
      </c>
      <c r="E264" s="6" t="str">
        <f>IF(A264 = "", "", COUNTIFS('Game Record'!H:H, A264, 'Game Record'!E:E, C264))</f>
        <v/>
      </c>
      <c r="F264" s="2">
        <f t="shared" si="1"/>
        <v>0</v>
      </c>
      <c r="G264" s="1" t="str">
        <f>IF(A264 = "", "", COUNTIF('Game Record'!G:G, A264))</f>
        <v/>
      </c>
      <c r="H264" s="6" t="str">
        <f>IF(A264 = "", "", COUNTIF('Game Record'!H:H, A264))</f>
        <v/>
      </c>
      <c r="I264" s="2">
        <f>IFERROR(__xludf.DUMMYFUNCTION("SUM(FILTER(TeamARecordSet, INDEX(TeamARecordSet, 0, 1) = A264)) + SUM(FILTER(TeamBRecordSet, INDEX(TeamBRecordSet, 0, 1) = A264))"),0.0)</f>
        <v>0</v>
      </c>
      <c r="J264" s="2">
        <f t="shared" si="2"/>
        <v>0</v>
      </c>
      <c r="K264" s="2" t="str">
        <f t="shared" si="3"/>
        <v/>
      </c>
    </row>
    <row r="265">
      <c r="A265" s="2"/>
      <c r="B265" s="7"/>
      <c r="D265" s="5" t="str">
        <f>IF(A265 = "", "", COUNTIFS('Game Record'!G:G, A265, 'Game Record'!E:E, C265))</f>
        <v/>
      </c>
      <c r="E265" s="6" t="str">
        <f>IF(A265 = "", "", COUNTIFS('Game Record'!H:H, A265, 'Game Record'!E:E, C265))</f>
        <v/>
      </c>
      <c r="F265" s="2">
        <f t="shared" si="1"/>
        <v>0</v>
      </c>
      <c r="G265" s="1" t="str">
        <f>IF(A265 = "", "", COUNTIF('Game Record'!G:G, A265))</f>
        <v/>
      </c>
      <c r="H265" s="6" t="str">
        <f>IF(A265 = "", "", COUNTIF('Game Record'!H:H, A265))</f>
        <v/>
      </c>
      <c r="I265" s="2">
        <f>IFERROR(__xludf.DUMMYFUNCTION("SUM(FILTER(TeamARecordSet, INDEX(TeamARecordSet, 0, 1) = A265)) + SUM(FILTER(TeamBRecordSet, INDEX(TeamBRecordSet, 0, 1) = A265))"),0.0)</f>
        <v>0</v>
      </c>
      <c r="J265" s="2">
        <f t="shared" si="2"/>
        <v>0</v>
      </c>
      <c r="K265" s="2" t="str">
        <f t="shared" si="3"/>
        <v/>
      </c>
    </row>
    <row r="266">
      <c r="A266" s="2"/>
      <c r="B266" s="7"/>
      <c r="D266" s="5" t="str">
        <f>IF(A266 = "", "", COUNTIFS('Game Record'!G:G, A266, 'Game Record'!E:E, C266))</f>
        <v/>
      </c>
      <c r="E266" s="6" t="str">
        <f>IF(A266 = "", "", COUNTIFS('Game Record'!H:H, A266, 'Game Record'!E:E, C266))</f>
        <v/>
      </c>
      <c r="F266" s="2">
        <f t="shared" si="1"/>
        <v>0</v>
      </c>
      <c r="G266" s="1" t="str">
        <f>IF(A266 = "", "", COUNTIF('Game Record'!G:G, A266))</f>
        <v/>
      </c>
      <c r="H266" s="6" t="str">
        <f>IF(A266 = "", "", COUNTIF('Game Record'!H:H, A266))</f>
        <v/>
      </c>
      <c r="I266" s="2">
        <f>IFERROR(__xludf.DUMMYFUNCTION("SUM(FILTER(TeamARecordSet, INDEX(TeamARecordSet, 0, 1) = A266)) + SUM(FILTER(TeamBRecordSet, INDEX(TeamBRecordSet, 0, 1) = A266))"),0.0)</f>
        <v>0</v>
      </c>
      <c r="J266" s="2">
        <f t="shared" si="2"/>
        <v>0</v>
      </c>
      <c r="K266" s="2" t="str">
        <f t="shared" si="3"/>
        <v/>
      </c>
    </row>
    <row r="267">
      <c r="A267" s="2"/>
      <c r="B267" s="7"/>
      <c r="D267" s="5" t="str">
        <f>IF(A267 = "", "", COUNTIFS('Game Record'!G:G, A267, 'Game Record'!E:E, C267))</f>
        <v/>
      </c>
      <c r="E267" s="6" t="str">
        <f>IF(A267 = "", "", COUNTIFS('Game Record'!H:H, A267, 'Game Record'!E:E, C267))</f>
        <v/>
      </c>
      <c r="F267" s="2">
        <f t="shared" si="1"/>
        <v>0</v>
      </c>
      <c r="G267" s="1" t="str">
        <f>IF(A267 = "", "", COUNTIF('Game Record'!G:G, A267))</f>
        <v/>
      </c>
      <c r="H267" s="6" t="str">
        <f>IF(A267 = "", "", COUNTIF('Game Record'!H:H, A267))</f>
        <v/>
      </c>
      <c r="I267" s="2">
        <f>IFERROR(__xludf.DUMMYFUNCTION("SUM(FILTER(TeamARecordSet, INDEX(TeamARecordSet, 0, 1) = A267)) + SUM(FILTER(TeamBRecordSet, INDEX(TeamBRecordSet, 0, 1) = A267))"),0.0)</f>
        <v>0</v>
      </c>
      <c r="J267" s="2">
        <f t="shared" si="2"/>
        <v>0</v>
      </c>
      <c r="K267" s="2" t="str">
        <f t="shared" si="3"/>
        <v/>
      </c>
    </row>
    <row r="268">
      <c r="A268" s="2"/>
      <c r="B268" s="7"/>
      <c r="D268" s="5" t="str">
        <f>IF(A268 = "", "", COUNTIFS('Game Record'!G:G, A268, 'Game Record'!E:E, C268))</f>
        <v/>
      </c>
      <c r="E268" s="6" t="str">
        <f>IF(A268 = "", "", COUNTIFS('Game Record'!H:H, A268, 'Game Record'!E:E, C268))</f>
        <v/>
      </c>
      <c r="F268" s="2">
        <f t="shared" si="1"/>
        <v>0</v>
      </c>
      <c r="G268" s="1" t="str">
        <f>IF(A268 = "", "", COUNTIF('Game Record'!G:G, A268))</f>
        <v/>
      </c>
      <c r="H268" s="6" t="str">
        <f>IF(A268 = "", "", COUNTIF('Game Record'!H:H, A268))</f>
        <v/>
      </c>
      <c r="I268" s="2">
        <f>IFERROR(__xludf.DUMMYFUNCTION("SUM(FILTER(TeamARecordSet, INDEX(TeamARecordSet, 0, 1) = A268)) + SUM(FILTER(TeamBRecordSet, INDEX(TeamBRecordSet, 0, 1) = A268))"),0.0)</f>
        <v>0</v>
      </c>
      <c r="J268" s="2">
        <f t="shared" si="2"/>
        <v>0</v>
      </c>
      <c r="K268" s="2" t="str">
        <f t="shared" si="3"/>
        <v/>
      </c>
    </row>
    <row r="269">
      <c r="A269" s="2"/>
      <c r="B269" s="7"/>
      <c r="D269" s="5" t="str">
        <f>IF(A269 = "", "", COUNTIFS('Game Record'!G:G, A269, 'Game Record'!E:E, C269))</f>
        <v/>
      </c>
      <c r="E269" s="6" t="str">
        <f>IF(A269 = "", "", COUNTIFS('Game Record'!H:H, A269, 'Game Record'!E:E, C269))</f>
        <v/>
      </c>
      <c r="F269" s="2">
        <f t="shared" si="1"/>
        <v>0</v>
      </c>
      <c r="G269" s="1" t="str">
        <f>IF(A269 = "", "", COUNTIF('Game Record'!G:G, A269))</f>
        <v/>
      </c>
      <c r="H269" s="6" t="str">
        <f>IF(A269 = "", "", COUNTIF('Game Record'!H:H, A269))</f>
        <v/>
      </c>
      <c r="I269" s="2">
        <f>IFERROR(__xludf.DUMMYFUNCTION("SUM(FILTER(TeamARecordSet, INDEX(TeamARecordSet, 0, 1) = A269)) + SUM(FILTER(TeamBRecordSet, INDEX(TeamBRecordSet, 0, 1) = A269))"),0.0)</f>
        <v>0</v>
      </c>
      <c r="J269" s="2">
        <f t="shared" si="2"/>
        <v>0</v>
      </c>
      <c r="K269" s="2" t="str">
        <f t="shared" si="3"/>
        <v/>
      </c>
    </row>
    <row r="270">
      <c r="A270" s="2"/>
      <c r="B270" s="7"/>
      <c r="D270" s="5" t="str">
        <f>IF(A270 = "", "", COUNTIFS('Game Record'!G:G, A270, 'Game Record'!E:E, C270))</f>
        <v/>
      </c>
      <c r="E270" s="6" t="str">
        <f>IF(A270 = "", "", COUNTIFS('Game Record'!H:H, A270, 'Game Record'!E:E, C270))</f>
        <v/>
      </c>
      <c r="F270" s="2">
        <f t="shared" si="1"/>
        <v>0</v>
      </c>
      <c r="G270" s="1" t="str">
        <f>IF(A270 = "", "", COUNTIF('Game Record'!G:G, A270))</f>
        <v/>
      </c>
      <c r="H270" s="6" t="str">
        <f>IF(A270 = "", "", COUNTIF('Game Record'!H:H, A270))</f>
        <v/>
      </c>
      <c r="I270" s="2">
        <f>IFERROR(__xludf.DUMMYFUNCTION("SUM(FILTER(TeamARecordSet, INDEX(TeamARecordSet, 0, 1) = A270)) + SUM(FILTER(TeamBRecordSet, INDEX(TeamBRecordSet, 0, 1) = A270))"),0.0)</f>
        <v>0</v>
      </c>
      <c r="J270" s="2">
        <f t="shared" si="2"/>
        <v>0</v>
      </c>
      <c r="K270" s="2" t="str">
        <f t="shared" si="3"/>
        <v/>
      </c>
    </row>
    <row r="271">
      <c r="A271" s="2"/>
      <c r="B271" s="7"/>
      <c r="D271" s="5" t="str">
        <f>IF(A271 = "", "", COUNTIFS('Game Record'!G:G, A271, 'Game Record'!E:E, C271))</f>
        <v/>
      </c>
      <c r="E271" s="6" t="str">
        <f>IF(A271 = "", "", COUNTIFS('Game Record'!H:H, A271, 'Game Record'!E:E, C271))</f>
        <v/>
      </c>
      <c r="F271" s="2">
        <f t="shared" si="1"/>
        <v>0</v>
      </c>
      <c r="G271" s="1" t="str">
        <f>IF(A271 = "", "", COUNTIF('Game Record'!G:G, A271))</f>
        <v/>
      </c>
      <c r="H271" s="6" t="str">
        <f>IF(A271 = "", "", COUNTIF('Game Record'!H:H, A271))</f>
        <v/>
      </c>
      <c r="I271" s="2">
        <f>IFERROR(__xludf.DUMMYFUNCTION("SUM(FILTER(TeamARecordSet, INDEX(TeamARecordSet, 0, 1) = A271)) + SUM(FILTER(TeamBRecordSet, INDEX(TeamBRecordSet, 0, 1) = A271))"),0.0)</f>
        <v>0</v>
      </c>
      <c r="J271" s="2">
        <f t="shared" si="2"/>
        <v>0</v>
      </c>
      <c r="K271" s="2" t="str">
        <f t="shared" si="3"/>
        <v/>
      </c>
    </row>
    <row r="272">
      <c r="A272" s="2"/>
      <c r="B272" s="7"/>
      <c r="D272" s="5" t="str">
        <f>IF(A272 = "", "", COUNTIFS('Game Record'!G:G, A272, 'Game Record'!E:E, C272))</f>
        <v/>
      </c>
      <c r="E272" s="6" t="str">
        <f>IF(A272 = "", "", COUNTIFS('Game Record'!H:H, A272, 'Game Record'!E:E, C272))</f>
        <v/>
      </c>
      <c r="F272" s="2">
        <f t="shared" si="1"/>
        <v>0</v>
      </c>
      <c r="G272" s="1" t="str">
        <f>IF(A272 = "", "", COUNTIF('Game Record'!G:G, A272))</f>
        <v/>
      </c>
      <c r="H272" s="6" t="str">
        <f>IF(A272 = "", "", COUNTIF('Game Record'!H:H, A272))</f>
        <v/>
      </c>
      <c r="I272" s="2">
        <f>IFERROR(__xludf.DUMMYFUNCTION("SUM(FILTER(TeamARecordSet, INDEX(TeamARecordSet, 0, 1) = A272)) + SUM(FILTER(TeamBRecordSet, INDEX(TeamBRecordSet, 0, 1) = A272))"),0.0)</f>
        <v>0</v>
      </c>
      <c r="J272" s="2">
        <f t="shared" si="2"/>
        <v>0</v>
      </c>
      <c r="K272" s="2" t="str">
        <f t="shared" si="3"/>
        <v/>
      </c>
    </row>
    <row r="273">
      <c r="A273" s="2"/>
      <c r="B273" s="7"/>
      <c r="D273" s="5" t="str">
        <f>IF(A273 = "", "", COUNTIFS('Game Record'!G:G, A273, 'Game Record'!E:E, C273))</f>
        <v/>
      </c>
      <c r="E273" s="6" t="str">
        <f>IF(A273 = "", "", COUNTIFS('Game Record'!H:H, A273, 'Game Record'!E:E, C273))</f>
        <v/>
      </c>
      <c r="F273" s="2">
        <f t="shared" si="1"/>
        <v>0</v>
      </c>
      <c r="G273" s="1" t="str">
        <f>IF(A273 = "", "", COUNTIF('Game Record'!G:G, A273))</f>
        <v/>
      </c>
      <c r="H273" s="6" t="str">
        <f>IF(A273 = "", "", COUNTIF('Game Record'!H:H, A273))</f>
        <v/>
      </c>
      <c r="I273" s="2">
        <f>IFERROR(__xludf.DUMMYFUNCTION("SUM(FILTER(TeamARecordSet, INDEX(TeamARecordSet, 0, 1) = A273)) + SUM(FILTER(TeamBRecordSet, INDEX(TeamBRecordSet, 0, 1) = A273))"),0.0)</f>
        <v>0</v>
      </c>
      <c r="J273" s="2">
        <f t="shared" si="2"/>
        <v>0</v>
      </c>
      <c r="K273" s="2" t="str">
        <f t="shared" si="3"/>
        <v/>
      </c>
    </row>
    <row r="274">
      <c r="A274" s="2"/>
      <c r="B274" s="7"/>
      <c r="D274" s="5" t="str">
        <f>IF(A274 = "", "", COUNTIFS('Game Record'!G:G, A274, 'Game Record'!E:E, C274))</f>
        <v/>
      </c>
      <c r="E274" s="6" t="str">
        <f>IF(A274 = "", "", COUNTIFS('Game Record'!H:H, A274, 'Game Record'!E:E, C274))</f>
        <v/>
      </c>
      <c r="F274" s="2">
        <f t="shared" si="1"/>
        <v>0</v>
      </c>
      <c r="G274" s="1" t="str">
        <f>IF(A274 = "", "", COUNTIF('Game Record'!G:G, A274))</f>
        <v/>
      </c>
      <c r="H274" s="6" t="str">
        <f>IF(A274 = "", "", COUNTIF('Game Record'!H:H, A274))</f>
        <v/>
      </c>
      <c r="I274" s="2">
        <f>IFERROR(__xludf.DUMMYFUNCTION("SUM(FILTER(TeamARecordSet, INDEX(TeamARecordSet, 0, 1) = A274)) + SUM(FILTER(TeamBRecordSet, INDEX(TeamBRecordSet, 0, 1) = A274))"),0.0)</f>
        <v>0</v>
      </c>
      <c r="J274" s="2">
        <f t="shared" si="2"/>
        <v>0</v>
      </c>
      <c r="K274" s="2" t="str">
        <f t="shared" si="3"/>
        <v/>
      </c>
    </row>
    <row r="275">
      <c r="A275" s="2"/>
      <c r="B275" s="7"/>
      <c r="D275" s="5" t="str">
        <f>IF(A275 = "", "", COUNTIFS('Game Record'!G:G, A275, 'Game Record'!E:E, C275))</f>
        <v/>
      </c>
      <c r="E275" s="6" t="str">
        <f>IF(A275 = "", "", COUNTIFS('Game Record'!H:H, A275, 'Game Record'!E:E, C275))</f>
        <v/>
      </c>
      <c r="F275" s="2">
        <f t="shared" si="1"/>
        <v>0</v>
      </c>
      <c r="G275" s="1" t="str">
        <f>IF(A275 = "", "", COUNTIF('Game Record'!G:G, A275))</f>
        <v/>
      </c>
      <c r="H275" s="6" t="str">
        <f>IF(A275 = "", "", COUNTIF('Game Record'!H:H, A275))</f>
        <v/>
      </c>
      <c r="I275" s="2">
        <f>IFERROR(__xludf.DUMMYFUNCTION("SUM(FILTER(TeamARecordSet, INDEX(TeamARecordSet, 0, 1) = A275)) + SUM(FILTER(TeamBRecordSet, INDEX(TeamBRecordSet, 0, 1) = A275))"),0.0)</f>
        <v>0</v>
      </c>
      <c r="J275" s="2">
        <f t="shared" si="2"/>
        <v>0</v>
      </c>
      <c r="K275" s="2" t="str">
        <f t="shared" si="3"/>
        <v/>
      </c>
    </row>
    <row r="276">
      <c r="A276" s="2"/>
      <c r="B276" s="7"/>
      <c r="D276" s="5" t="str">
        <f>IF(A276 = "", "", COUNTIFS('Game Record'!G:G, A276, 'Game Record'!E:E, C276))</f>
        <v/>
      </c>
      <c r="E276" s="6" t="str">
        <f>IF(A276 = "", "", COUNTIFS('Game Record'!H:H, A276, 'Game Record'!E:E, C276))</f>
        <v/>
      </c>
      <c r="F276" s="2">
        <f t="shared" si="1"/>
        <v>0</v>
      </c>
      <c r="G276" s="1" t="str">
        <f>IF(A276 = "", "", COUNTIF('Game Record'!G:G, A276))</f>
        <v/>
      </c>
      <c r="H276" s="6" t="str">
        <f>IF(A276 = "", "", COUNTIF('Game Record'!H:H, A276))</f>
        <v/>
      </c>
      <c r="I276" s="2">
        <f>IFERROR(__xludf.DUMMYFUNCTION("SUM(FILTER(TeamARecordSet, INDEX(TeamARecordSet, 0, 1) = A276)) + SUM(FILTER(TeamBRecordSet, INDEX(TeamBRecordSet, 0, 1) = A276))"),0.0)</f>
        <v>0</v>
      </c>
      <c r="J276" s="2">
        <f t="shared" si="2"/>
        <v>0</v>
      </c>
      <c r="K276" s="2" t="str">
        <f t="shared" si="3"/>
        <v/>
      </c>
    </row>
    <row r="277">
      <c r="A277" s="2"/>
      <c r="B277" s="7"/>
      <c r="D277" s="5" t="str">
        <f>IF(A277 = "", "", COUNTIFS('Game Record'!G:G, A277, 'Game Record'!E:E, C277))</f>
        <v/>
      </c>
      <c r="E277" s="6" t="str">
        <f>IF(A277 = "", "", COUNTIFS('Game Record'!H:H, A277, 'Game Record'!E:E, C277))</f>
        <v/>
      </c>
      <c r="F277" s="2">
        <f t="shared" si="1"/>
        <v>0</v>
      </c>
      <c r="G277" s="1" t="str">
        <f>IF(A277 = "", "", COUNTIF('Game Record'!G:G, A277))</f>
        <v/>
      </c>
      <c r="H277" s="6" t="str">
        <f>IF(A277 = "", "", COUNTIF('Game Record'!H:H, A277))</f>
        <v/>
      </c>
      <c r="I277" s="2">
        <f>IFERROR(__xludf.DUMMYFUNCTION("SUM(FILTER(TeamARecordSet, INDEX(TeamARecordSet, 0, 1) = A277)) + SUM(FILTER(TeamBRecordSet, INDEX(TeamBRecordSet, 0, 1) = A277))"),0.0)</f>
        <v>0</v>
      </c>
      <c r="J277" s="2">
        <f t="shared" si="2"/>
        <v>0</v>
      </c>
      <c r="K277" s="2" t="str">
        <f t="shared" si="3"/>
        <v/>
      </c>
    </row>
    <row r="278">
      <c r="A278" s="2"/>
      <c r="B278" s="7"/>
      <c r="D278" s="5" t="str">
        <f>IF(A278 = "", "", COUNTIFS('Game Record'!G:G, A278, 'Game Record'!E:E, C278))</f>
        <v/>
      </c>
      <c r="E278" s="6" t="str">
        <f>IF(A278 = "", "", COUNTIFS('Game Record'!H:H, A278, 'Game Record'!E:E, C278))</f>
        <v/>
      </c>
      <c r="F278" s="2">
        <f t="shared" si="1"/>
        <v>0</v>
      </c>
      <c r="G278" s="1" t="str">
        <f>IF(A278 = "", "", COUNTIF('Game Record'!G:G, A278))</f>
        <v/>
      </c>
      <c r="H278" s="6" t="str">
        <f>IF(A278 = "", "", COUNTIF('Game Record'!H:H, A278))</f>
        <v/>
      </c>
      <c r="I278" s="2">
        <f>IFERROR(__xludf.DUMMYFUNCTION("SUM(FILTER(TeamARecordSet, INDEX(TeamARecordSet, 0, 1) = A278)) + SUM(FILTER(TeamBRecordSet, INDEX(TeamBRecordSet, 0, 1) = A278))"),0.0)</f>
        <v>0</v>
      </c>
      <c r="J278" s="2">
        <f t="shared" si="2"/>
        <v>0</v>
      </c>
      <c r="K278" s="2" t="str">
        <f t="shared" si="3"/>
        <v/>
      </c>
    </row>
    <row r="279">
      <c r="A279" s="2"/>
      <c r="B279" s="7"/>
      <c r="D279" s="5" t="str">
        <f>IF(A279 = "", "", COUNTIFS('Game Record'!G:G, A279, 'Game Record'!E:E, C279))</f>
        <v/>
      </c>
      <c r="E279" s="6" t="str">
        <f>IF(A279 = "", "", COUNTIFS('Game Record'!H:H, A279, 'Game Record'!E:E, C279))</f>
        <v/>
      </c>
      <c r="F279" s="2">
        <f t="shared" si="1"/>
        <v>0</v>
      </c>
      <c r="G279" s="1" t="str">
        <f>IF(A279 = "", "", COUNTIF('Game Record'!G:G, A279))</f>
        <v/>
      </c>
      <c r="H279" s="6" t="str">
        <f>IF(A279 = "", "", COUNTIF('Game Record'!H:H, A279))</f>
        <v/>
      </c>
      <c r="I279" s="2">
        <f>IFERROR(__xludf.DUMMYFUNCTION("SUM(FILTER(TeamARecordSet, INDEX(TeamARecordSet, 0, 1) = A279)) + SUM(FILTER(TeamBRecordSet, INDEX(TeamBRecordSet, 0, 1) = A279))"),0.0)</f>
        <v>0</v>
      </c>
      <c r="J279" s="2">
        <f t="shared" si="2"/>
        <v>0</v>
      </c>
      <c r="K279" s="2" t="str">
        <f t="shared" si="3"/>
        <v/>
      </c>
    </row>
    <row r="280">
      <c r="A280" s="2"/>
      <c r="B280" s="7"/>
      <c r="D280" s="5" t="str">
        <f>IF(A280 = "", "", COUNTIFS('Game Record'!G:G, A280, 'Game Record'!E:E, C280))</f>
        <v/>
      </c>
      <c r="E280" s="6" t="str">
        <f>IF(A280 = "", "", COUNTIFS('Game Record'!H:H, A280, 'Game Record'!E:E, C280))</f>
        <v/>
      </c>
      <c r="F280" s="2">
        <f t="shared" si="1"/>
        <v>0</v>
      </c>
      <c r="G280" s="1" t="str">
        <f>IF(A280 = "", "", COUNTIF('Game Record'!G:G, A280))</f>
        <v/>
      </c>
      <c r="H280" s="6" t="str">
        <f>IF(A280 = "", "", COUNTIF('Game Record'!H:H, A280))</f>
        <v/>
      </c>
      <c r="I280" s="2">
        <f>IFERROR(__xludf.DUMMYFUNCTION("SUM(FILTER(TeamARecordSet, INDEX(TeamARecordSet, 0, 1) = A280)) + SUM(FILTER(TeamBRecordSet, INDEX(TeamBRecordSet, 0, 1) = A280))"),0.0)</f>
        <v>0</v>
      </c>
      <c r="J280" s="2">
        <f t="shared" si="2"/>
        <v>0</v>
      </c>
      <c r="K280" s="2" t="str">
        <f t="shared" si="3"/>
        <v/>
      </c>
    </row>
    <row r="281">
      <c r="A281" s="2"/>
      <c r="B281" s="7"/>
      <c r="D281" s="5" t="str">
        <f>IF(A281 = "", "", COUNTIFS('Game Record'!G:G, A281, 'Game Record'!E:E, C281))</f>
        <v/>
      </c>
      <c r="E281" s="6" t="str">
        <f>IF(A281 = "", "", COUNTIFS('Game Record'!H:H, A281, 'Game Record'!E:E, C281))</f>
        <v/>
      </c>
      <c r="F281" s="2">
        <f t="shared" si="1"/>
        <v>0</v>
      </c>
      <c r="G281" s="1" t="str">
        <f>IF(A281 = "", "", COUNTIF('Game Record'!G:G, A281))</f>
        <v/>
      </c>
      <c r="H281" s="6" t="str">
        <f>IF(A281 = "", "", COUNTIF('Game Record'!H:H, A281))</f>
        <v/>
      </c>
      <c r="I281" s="2">
        <f>IFERROR(__xludf.DUMMYFUNCTION("SUM(FILTER(TeamARecordSet, INDEX(TeamARecordSet, 0, 1) = A281)) + SUM(FILTER(TeamBRecordSet, INDEX(TeamBRecordSet, 0, 1) = A281))"),0.0)</f>
        <v>0</v>
      </c>
      <c r="J281" s="2">
        <f t="shared" si="2"/>
        <v>0</v>
      </c>
      <c r="K281" s="2" t="str">
        <f t="shared" si="3"/>
        <v/>
      </c>
    </row>
    <row r="282">
      <c r="A282" s="2"/>
      <c r="B282" s="7"/>
      <c r="D282" s="5" t="str">
        <f>IF(A282 = "", "", COUNTIFS('Game Record'!G:G, A282, 'Game Record'!E:E, C282))</f>
        <v/>
      </c>
      <c r="E282" s="6" t="str">
        <f>IF(A282 = "", "", COUNTIFS('Game Record'!H:H, A282, 'Game Record'!E:E, C282))</f>
        <v/>
      </c>
      <c r="F282" s="2">
        <f t="shared" si="1"/>
        <v>0</v>
      </c>
      <c r="G282" s="1" t="str">
        <f>IF(A282 = "", "", COUNTIF('Game Record'!G:G, A282))</f>
        <v/>
      </c>
      <c r="H282" s="6" t="str">
        <f>IF(A282 = "", "", COUNTIF('Game Record'!H:H, A282))</f>
        <v/>
      </c>
      <c r="I282" s="2">
        <f>IFERROR(__xludf.DUMMYFUNCTION("SUM(FILTER(TeamARecordSet, INDEX(TeamARecordSet, 0, 1) = A282)) + SUM(FILTER(TeamBRecordSet, INDEX(TeamBRecordSet, 0, 1) = A282))"),0.0)</f>
        <v>0</v>
      </c>
      <c r="J282" s="2">
        <f t="shared" si="2"/>
        <v>0</v>
      </c>
      <c r="K282" s="2" t="str">
        <f t="shared" si="3"/>
        <v/>
      </c>
    </row>
    <row r="283">
      <c r="A283" s="2"/>
      <c r="B283" s="7"/>
      <c r="D283" s="5" t="str">
        <f>IF(A283 = "", "", COUNTIFS('Game Record'!G:G, A283, 'Game Record'!E:E, C283))</f>
        <v/>
      </c>
      <c r="E283" s="6" t="str">
        <f>IF(A283 = "", "", COUNTIFS('Game Record'!H:H, A283, 'Game Record'!E:E, C283))</f>
        <v/>
      </c>
      <c r="F283" s="2">
        <f t="shared" si="1"/>
        <v>0</v>
      </c>
      <c r="G283" s="1" t="str">
        <f>IF(A283 = "", "", COUNTIF('Game Record'!G:G, A283))</f>
        <v/>
      </c>
      <c r="H283" s="6" t="str">
        <f>IF(A283 = "", "", COUNTIF('Game Record'!H:H, A283))</f>
        <v/>
      </c>
      <c r="I283" s="2">
        <f>IFERROR(__xludf.DUMMYFUNCTION("SUM(FILTER(TeamARecordSet, INDEX(TeamARecordSet, 0, 1) = A283)) + SUM(FILTER(TeamBRecordSet, INDEX(TeamBRecordSet, 0, 1) = A283))"),0.0)</f>
        <v>0</v>
      </c>
      <c r="J283" s="2">
        <f t="shared" si="2"/>
        <v>0</v>
      </c>
      <c r="K283" s="2" t="str">
        <f t="shared" si="3"/>
        <v/>
      </c>
    </row>
    <row r="284">
      <c r="A284" s="2"/>
      <c r="B284" s="7"/>
      <c r="D284" s="5" t="str">
        <f>IF(A284 = "", "", COUNTIFS('Game Record'!G:G, A284, 'Game Record'!E:E, C284))</f>
        <v/>
      </c>
      <c r="E284" s="6" t="str">
        <f>IF(A284 = "", "", COUNTIFS('Game Record'!H:H, A284, 'Game Record'!E:E, C284))</f>
        <v/>
      </c>
      <c r="F284" s="2">
        <f t="shared" si="1"/>
        <v>0</v>
      </c>
      <c r="G284" s="1" t="str">
        <f>IF(A284 = "", "", COUNTIF('Game Record'!G:G, A284))</f>
        <v/>
      </c>
      <c r="H284" s="6" t="str">
        <f>IF(A284 = "", "", COUNTIF('Game Record'!H:H, A284))</f>
        <v/>
      </c>
      <c r="I284" s="2">
        <f>IFERROR(__xludf.DUMMYFUNCTION("SUM(FILTER(TeamARecordSet, INDEX(TeamARecordSet, 0, 1) = A284)) + SUM(FILTER(TeamBRecordSet, INDEX(TeamBRecordSet, 0, 1) = A284))"),0.0)</f>
        <v>0</v>
      </c>
      <c r="J284" s="2">
        <f t="shared" si="2"/>
        <v>0</v>
      </c>
      <c r="K284" s="2" t="str">
        <f t="shared" si="3"/>
        <v/>
      </c>
    </row>
    <row r="285">
      <c r="A285" s="2"/>
      <c r="B285" s="7"/>
      <c r="D285" s="5" t="str">
        <f>IF(A285 = "", "", COUNTIFS('Game Record'!G:G, A285, 'Game Record'!E:E, C285))</f>
        <v/>
      </c>
      <c r="E285" s="6" t="str">
        <f>IF(A285 = "", "", COUNTIFS('Game Record'!H:H, A285, 'Game Record'!E:E, C285))</f>
        <v/>
      </c>
      <c r="F285" s="2">
        <f t="shared" si="1"/>
        <v>0</v>
      </c>
      <c r="G285" s="1" t="str">
        <f>IF(A285 = "", "", COUNTIF('Game Record'!G:G, A285))</f>
        <v/>
      </c>
      <c r="H285" s="6" t="str">
        <f>IF(A285 = "", "", COUNTIF('Game Record'!H:H, A285))</f>
        <v/>
      </c>
      <c r="I285" s="2">
        <f>IFERROR(__xludf.DUMMYFUNCTION("SUM(FILTER(TeamARecordSet, INDEX(TeamARecordSet, 0, 1) = A285)) + SUM(FILTER(TeamBRecordSet, INDEX(TeamBRecordSet, 0, 1) = A285))"),0.0)</f>
        <v>0</v>
      </c>
      <c r="J285" s="2">
        <f t="shared" si="2"/>
        <v>0</v>
      </c>
      <c r="K285" s="2" t="str">
        <f t="shared" si="3"/>
        <v/>
      </c>
    </row>
    <row r="286">
      <c r="A286" s="2"/>
      <c r="B286" s="7"/>
      <c r="D286" s="5" t="str">
        <f>IF(A286 = "", "", COUNTIFS('Game Record'!G:G, A286, 'Game Record'!E:E, C286))</f>
        <v/>
      </c>
      <c r="E286" s="6" t="str">
        <f>IF(A286 = "", "", COUNTIFS('Game Record'!H:H, A286, 'Game Record'!E:E, C286))</f>
        <v/>
      </c>
      <c r="F286" s="2">
        <f t="shared" si="1"/>
        <v>0</v>
      </c>
      <c r="G286" s="1" t="str">
        <f>IF(A286 = "", "", COUNTIF('Game Record'!G:G, A286))</f>
        <v/>
      </c>
      <c r="H286" s="6" t="str">
        <f>IF(A286 = "", "", COUNTIF('Game Record'!H:H, A286))</f>
        <v/>
      </c>
      <c r="I286" s="2">
        <f>IFERROR(__xludf.DUMMYFUNCTION("SUM(FILTER(TeamARecordSet, INDEX(TeamARecordSet, 0, 1) = A286)) + SUM(FILTER(TeamBRecordSet, INDEX(TeamBRecordSet, 0, 1) = A286))"),0.0)</f>
        <v>0</v>
      </c>
      <c r="J286" s="2">
        <f t="shared" si="2"/>
        <v>0</v>
      </c>
      <c r="K286" s="2" t="str">
        <f t="shared" si="3"/>
        <v/>
      </c>
    </row>
    <row r="287">
      <c r="A287" s="2"/>
      <c r="B287" s="7"/>
      <c r="D287" s="5" t="str">
        <f>IF(A287 = "", "", COUNTIFS('Game Record'!G:G, A287, 'Game Record'!E:E, C287))</f>
        <v/>
      </c>
      <c r="E287" s="6" t="str">
        <f>IF(A287 = "", "", COUNTIFS('Game Record'!H:H, A287, 'Game Record'!E:E, C287))</f>
        <v/>
      </c>
      <c r="F287" s="2">
        <f t="shared" si="1"/>
        <v>0</v>
      </c>
      <c r="G287" s="1" t="str">
        <f>IF(A287 = "", "", COUNTIF('Game Record'!G:G, A287))</f>
        <v/>
      </c>
      <c r="H287" s="6" t="str">
        <f>IF(A287 = "", "", COUNTIF('Game Record'!H:H, A287))</f>
        <v/>
      </c>
      <c r="I287" s="2">
        <f>IFERROR(__xludf.DUMMYFUNCTION("SUM(FILTER(TeamARecordSet, INDEX(TeamARecordSet, 0, 1) = A287)) + SUM(FILTER(TeamBRecordSet, INDEX(TeamBRecordSet, 0, 1) = A287))"),0.0)</f>
        <v>0</v>
      </c>
      <c r="J287" s="2">
        <f t="shared" si="2"/>
        <v>0</v>
      </c>
      <c r="K287" s="2" t="str">
        <f t="shared" si="3"/>
        <v/>
      </c>
    </row>
    <row r="288">
      <c r="A288" s="2"/>
      <c r="B288" s="7"/>
      <c r="D288" s="5" t="str">
        <f>IF(A288 = "", "", COUNTIFS('Game Record'!G:G, A288, 'Game Record'!E:E, C288))</f>
        <v/>
      </c>
      <c r="E288" s="6" t="str">
        <f>IF(A288 = "", "", COUNTIFS('Game Record'!H:H, A288, 'Game Record'!E:E, C288))</f>
        <v/>
      </c>
      <c r="F288" s="2">
        <f t="shared" si="1"/>
        <v>0</v>
      </c>
      <c r="G288" s="1" t="str">
        <f>IF(A288 = "", "", COUNTIF('Game Record'!G:G, A288))</f>
        <v/>
      </c>
      <c r="H288" s="6" t="str">
        <f>IF(A288 = "", "", COUNTIF('Game Record'!H:H, A288))</f>
        <v/>
      </c>
      <c r="I288" s="2">
        <f>IFERROR(__xludf.DUMMYFUNCTION("SUM(FILTER(TeamARecordSet, INDEX(TeamARecordSet, 0, 1) = A288)) + SUM(FILTER(TeamBRecordSet, INDEX(TeamBRecordSet, 0, 1) = A288))"),0.0)</f>
        <v>0</v>
      </c>
      <c r="J288" s="2">
        <f t="shared" si="2"/>
        <v>0</v>
      </c>
      <c r="K288" s="2" t="str">
        <f t="shared" si="3"/>
        <v/>
      </c>
    </row>
    <row r="289">
      <c r="A289" s="2"/>
      <c r="B289" s="7"/>
      <c r="D289" s="5" t="str">
        <f>IF(A289 = "", "", COUNTIFS('Game Record'!G:G, A289, 'Game Record'!E:E, C289))</f>
        <v/>
      </c>
      <c r="E289" s="6" t="str">
        <f>IF(A289 = "", "", COUNTIFS('Game Record'!H:H, A289, 'Game Record'!E:E, C289))</f>
        <v/>
      </c>
      <c r="F289" s="2">
        <f t="shared" si="1"/>
        <v>0</v>
      </c>
      <c r="G289" s="1" t="str">
        <f>IF(A289 = "", "", COUNTIF('Game Record'!G:G, A289))</f>
        <v/>
      </c>
      <c r="H289" s="6" t="str">
        <f>IF(A289 = "", "", COUNTIF('Game Record'!H:H, A289))</f>
        <v/>
      </c>
      <c r="I289" s="2">
        <f>IFERROR(__xludf.DUMMYFUNCTION("SUM(FILTER(TeamARecordSet, INDEX(TeamARecordSet, 0, 1) = A289)) + SUM(FILTER(TeamBRecordSet, INDEX(TeamBRecordSet, 0, 1) = A289))"),0.0)</f>
        <v>0</v>
      </c>
      <c r="J289" s="2">
        <f t="shared" si="2"/>
        <v>0</v>
      </c>
      <c r="K289" s="2" t="str">
        <f t="shared" si="3"/>
        <v/>
      </c>
    </row>
    <row r="290">
      <c r="A290" s="2"/>
      <c r="B290" s="7"/>
      <c r="D290" s="5" t="str">
        <f>IF(A290 = "", "", COUNTIFS('Game Record'!G:G, A290, 'Game Record'!E:E, C290))</f>
        <v/>
      </c>
      <c r="E290" s="6" t="str">
        <f>IF(A290 = "", "", COUNTIFS('Game Record'!H:H, A290, 'Game Record'!E:E, C290))</f>
        <v/>
      </c>
      <c r="F290" s="2">
        <f t="shared" si="1"/>
        <v>0</v>
      </c>
      <c r="G290" s="1" t="str">
        <f>IF(A290 = "", "", COUNTIF('Game Record'!G:G, A290))</f>
        <v/>
      </c>
      <c r="H290" s="6" t="str">
        <f>IF(A290 = "", "", COUNTIF('Game Record'!H:H, A290))</f>
        <v/>
      </c>
      <c r="I290" s="2">
        <f>IFERROR(__xludf.DUMMYFUNCTION("SUM(FILTER(TeamARecordSet, INDEX(TeamARecordSet, 0, 1) = A290)) + SUM(FILTER(TeamBRecordSet, INDEX(TeamBRecordSet, 0, 1) = A290))"),0.0)</f>
        <v>0</v>
      </c>
      <c r="J290" s="2">
        <f t="shared" si="2"/>
        <v>0</v>
      </c>
      <c r="K290" s="2" t="str">
        <f t="shared" si="3"/>
        <v/>
      </c>
    </row>
    <row r="291">
      <c r="A291" s="2"/>
      <c r="B291" s="7"/>
      <c r="D291" s="5" t="str">
        <f>IF(A291 = "", "", COUNTIFS('Game Record'!G:G, A291, 'Game Record'!E:E, C291))</f>
        <v/>
      </c>
      <c r="E291" s="6" t="str">
        <f>IF(A291 = "", "", COUNTIFS('Game Record'!H:H, A291, 'Game Record'!E:E, C291))</f>
        <v/>
      </c>
      <c r="F291" s="2">
        <f t="shared" si="1"/>
        <v>0</v>
      </c>
      <c r="G291" s="1" t="str">
        <f>IF(A291 = "", "", COUNTIF('Game Record'!G:G, A291))</f>
        <v/>
      </c>
      <c r="H291" s="6" t="str">
        <f>IF(A291 = "", "", COUNTIF('Game Record'!H:H, A291))</f>
        <v/>
      </c>
      <c r="I291" s="2">
        <f>IFERROR(__xludf.DUMMYFUNCTION("SUM(FILTER(TeamARecordSet, INDEX(TeamARecordSet, 0, 1) = A291)) + SUM(FILTER(TeamBRecordSet, INDEX(TeamBRecordSet, 0, 1) = A291))"),0.0)</f>
        <v>0</v>
      </c>
      <c r="J291" s="2">
        <f t="shared" si="2"/>
        <v>0</v>
      </c>
      <c r="K291" s="2" t="str">
        <f t="shared" si="3"/>
        <v/>
      </c>
    </row>
    <row r="292">
      <c r="A292" s="2"/>
      <c r="B292" s="7"/>
      <c r="D292" s="5" t="str">
        <f>IF(A292 = "", "", COUNTIFS('Game Record'!G:G, A292, 'Game Record'!E:E, C292))</f>
        <v/>
      </c>
      <c r="E292" s="6" t="str">
        <f>IF(A292 = "", "", COUNTIFS('Game Record'!H:H, A292, 'Game Record'!E:E, C292))</f>
        <v/>
      </c>
      <c r="F292" s="2">
        <f t="shared" si="1"/>
        <v>0</v>
      </c>
      <c r="G292" s="1" t="str">
        <f>IF(A292 = "", "", COUNTIF('Game Record'!G:G, A292))</f>
        <v/>
      </c>
      <c r="H292" s="6" t="str">
        <f>IF(A292 = "", "", COUNTIF('Game Record'!H:H, A292))</f>
        <v/>
      </c>
      <c r="I292" s="2">
        <f>IFERROR(__xludf.DUMMYFUNCTION("SUM(FILTER(TeamARecordSet, INDEX(TeamARecordSet, 0, 1) = A292)) + SUM(FILTER(TeamBRecordSet, INDEX(TeamBRecordSet, 0, 1) = A292))"),0.0)</f>
        <v>0</v>
      </c>
      <c r="J292" s="2">
        <f t="shared" si="2"/>
        <v>0</v>
      </c>
      <c r="K292" s="2" t="str">
        <f t="shared" si="3"/>
        <v/>
      </c>
    </row>
    <row r="293">
      <c r="A293" s="2"/>
      <c r="B293" s="7"/>
      <c r="D293" s="5" t="str">
        <f>IF(A293 = "", "", COUNTIFS('Game Record'!G:G, A293, 'Game Record'!E:E, C293))</f>
        <v/>
      </c>
      <c r="E293" s="6" t="str">
        <f>IF(A293 = "", "", COUNTIFS('Game Record'!H:H, A293, 'Game Record'!E:E, C293))</f>
        <v/>
      </c>
      <c r="F293" s="2">
        <f t="shared" si="1"/>
        <v>0</v>
      </c>
      <c r="G293" s="1" t="str">
        <f>IF(A293 = "", "", COUNTIF('Game Record'!G:G, A293))</f>
        <v/>
      </c>
      <c r="H293" s="6" t="str">
        <f>IF(A293 = "", "", COUNTIF('Game Record'!H:H, A293))</f>
        <v/>
      </c>
      <c r="I293" s="2">
        <f>IFERROR(__xludf.DUMMYFUNCTION("SUM(FILTER(TeamARecordSet, INDEX(TeamARecordSet, 0, 1) = A293)) + SUM(FILTER(TeamBRecordSet, INDEX(TeamBRecordSet, 0, 1) = A293))"),0.0)</f>
        <v>0</v>
      </c>
      <c r="J293" s="2">
        <f t="shared" si="2"/>
        <v>0</v>
      </c>
      <c r="K293" s="2" t="str">
        <f t="shared" si="3"/>
        <v/>
      </c>
    </row>
    <row r="294">
      <c r="A294" s="2"/>
      <c r="B294" s="7"/>
      <c r="D294" s="5" t="str">
        <f>IF(A294 = "", "", COUNTIFS('Game Record'!G:G, A294, 'Game Record'!E:E, C294))</f>
        <v/>
      </c>
      <c r="E294" s="6" t="str">
        <f>IF(A294 = "", "", COUNTIFS('Game Record'!H:H, A294, 'Game Record'!E:E, C294))</f>
        <v/>
      </c>
      <c r="F294" s="2">
        <f t="shared" si="1"/>
        <v>0</v>
      </c>
      <c r="G294" s="1" t="str">
        <f>IF(A294 = "", "", COUNTIF('Game Record'!G:G, A294))</f>
        <v/>
      </c>
      <c r="H294" s="6" t="str">
        <f>IF(A294 = "", "", COUNTIF('Game Record'!H:H, A294))</f>
        <v/>
      </c>
      <c r="I294" s="2">
        <f>IFERROR(__xludf.DUMMYFUNCTION("SUM(FILTER(TeamARecordSet, INDEX(TeamARecordSet, 0, 1) = A294)) + SUM(FILTER(TeamBRecordSet, INDEX(TeamBRecordSet, 0, 1) = A294))"),0.0)</f>
        <v>0</v>
      </c>
      <c r="J294" s="2">
        <f t="shared" si="2"/>
        <v>0</v>
      </c>
      <c r="K294" s="2" t="str">
        <f t="shared" si="3"/>
        <v/>
      </c>
    </row>
    <row r="295">
      <c r="A295" s="2"/>
      <c r="B295" s="7"/>
      <c r="D295" s="5" t="str">
        <f>IF(A295 = "", "", COUNTIFS('Game Record'!G:G, A295, 'Game Record'!E:E, C295))</f>
        <v/>
      </c>
      <c r="E295" s="6" t="str">
        <f>IF(A295 = "", "", COUNTIFS('Game Record'!H:H, A295, 'Game Record'!E:E, C295))</f>
        <v/>
      </c>
      <c r="F295" s="2">
        <f t="shared" si="1"/>
        <v>0</v>
      </c>
      <c r="G295" s="1" t="str">
        <f>IF(A295 = "", "", COUNTIF('Game Record'!G:G, A295))</f>
        <v/>
      </c>
      <c r="H295" s="6" t="str">
        <f>IF(A295 = "", "", COUNTIF('Game Record'!H:H, A295))</f>
        <v/>
      </c>
      <c r="I295" s="2">
        <f>IFERROR(__xludf.DUMMYFUNCTION("SUM(FILTER(TeamARecordSet, INDEX(TeamARecordSet, 0, 1) = A295)) + SUM(FILTER(TeamBRecordSet, INDEX(TeamBRecordSet, 0, 1) = A295))"),0.0)</f>
        <v>0</v>
      </c>
      <c r="J295" s="2">
        <f t="shared" si="2"/>
        <v>0</v>
      </c>
      <c r="K295" s="2" t="str">
        <f t="shared" si="3"/>
        <v/>
      </c>
    </row>
    <row r="296">
      <c r="A296" s="2"/>
      <c r="B296" s="7"/>
      <c r="D296" s="5" t="str">
        <f>IF(A296 = "", "", COUNTIFS('Game Record'!G:G, A296, 'Game Record'!E:E, C296))</f>
        <v/>
      </c>
      <c r="E296" s="6" t="str">
        <f>IF(A296 = "", "", COUNTIFS('Game Record'!H:H, A296, 'Game Record'!E:E, C296))</f>
        <v/>
      </c>
      <c r="F296" s="2">
        <f t="shared" si="1"/>
        <v>0</v>
      </c>
      <c r="G296" s="1" t="str">
        <f>IF(A296 = "", "", COUNTIF('Game Record'!G:G, A296))</f>
        <v/>
      </c>
      <c r="H296" s="6" t="str">
        <f>IF(A296 = "", "", COUNTIF('Game Record'!H:H, A296))</f>
        <v/>
      </c>
      <c r="I296" s="2">
        <f>IFERROR(__xludf.DUMMYFUNCTION("SUM(FILTER(TeamARecordSet, INDEX(TeamARecordSet, 0, 1) = A296)) + SUM(FILTER(TeamBRecordSet, INDEX(TeamBRecordSet, 0, 1) = A296))"),0.0)</f>
        <v>0</v>
      </c>
      <c r="J296" s="2">
        <f t="shared" si="2"/>
        <v>0</v>
      </c>
      <c r="K296" s="2" t="str">
        <f t="shared" si="3"/>
        <v/>
      </c>
    </row>
    <row r="297">
      <c r="A297" s="2"/>
      <c r="B297" s="7"/>
      <c r="D297" s="5" t="str">
        <f>IF(A297 = "", "", COUNTIFS('Game Record'!G:G, A297, 'Game Record'!E:E, C297))</f>
        <v/>
      </c>
      <c r="E297" s="6" t="str">
        <f>IF(A297 = "", "", COUNTIFS('Game Record'!H:H, A297, 'Game Record'!E:E, C297))</f>
        <v/>
      </c>
      <c r="F297" s="2">
        <f t="shared" si="1"/>
        <v>0</v>
      </c>
      <c r="G297" s="1" t="str">
        <f>IF(A297 = "", "", COUNTIF('Game Record'!G:G, A297))</f>
        <v/>
      </c>
      <c r="H297" s="6" t="str">
        <f>IF(A297 = "", "", COUNTIF('Game Record'!H:H, A297))</f>
        <v/>
      </c>
      <c r="I297" s="2">
        <f>IFERROR(__xludf.DUMMYFUNCTION("SUM(FILTER(TeamARecordSet, INDEX(TeamARecordSet, 0, 1) = A297)) + SUM(FILTER(TeamBRecordSet, INDEX(TeamBRecordSet, 0, 1) = A297))"),0.0)</f>
        <v>0</v>
      </c>
      <c r="J297" s="2">
        <f t="shared" si="2"/>
        <v>0</v>
      </c>
      <c r="K297" s="2" t="str">
        <f t="shared" si="3"/>
        <v/>
      </c>
    </row>
    <row r="298">
      <c r="A298" s="2"/>
      <c r="B298" s="7"/>
      <c r="D298" s="5" t="str">
        <f>IF(A298 = "", "", COUNTIFS('Game Record'!G:G, A298, 'Game Record'!E:E, C298))</f>
        <v/>
      </c>
      <c r="E298" s="6" t="str">
        <f>IF(A298 = "", "", COUNTIFS('Game Record'!H:H, A298, 'Game Record'!E:E, C298))</f>
        <v/>
      </c>
      <c r="F298" s="2">
        <f t="shared" si="1"/>
        <v>0</v>
      </c>
      <c r="G298" s="1" t="str">
        <f>IF(A298 = "", "", COUNTIF('Game Record'!G:G, A298))</f>
        <v/>
      </c>
      <c r="H298" s="6" t="str">
        <f>IF(A298 = "", "", COUNTIF('Game Record'!H:H, A298))</f>
        <v/>
      </c>
      <c r="I298" s="2">
        <f>IFERROR(__xludf.DUMMYFUNCTION("SUM(FILTER(TeamARecordSet, INDEX(TeamARecordSet, 0, 1) = A298)) + SUM(FILTER(TeamBRecordSet, INDEX(TeamBRecordSet, 0, 1) = A298))"),0.0)</f>
        <v>0</v>
      </c>
      <c r="J298" s="2">
        <f t="shared" si="2"/>
        <v>0</v>
      </c>
      <c r="K298" s="2" t="str">
        <f t="shared" si="3"/>
        <v/>
      </c>
    </row>
    <row r="299">
      <c r="A299" s="2"/>
      <c r="B299" s="7"/>
      <c r="D299" s="5" t="str">
        <f>IF(A299 = "", "", COUNTIFS('Game Record'!G:G, A299, 'Game Record'!E:E, C299))</f>
        <v/>
      </c>
      <c r="E299" s="6" t="str">
        <f>IF(A299 = "", "", COUNTIFS('Game Record'!H:H, A299, 'Game Record'!E:E, C299))</f>
        <v/>
      </c>
      <c r="F299" s="2">
        <f t="shared" si="1"/>
        <v>0</v>
      </c>
      <c r="G299" s="1" t="str">
        <f>IF(A299 = "", "", COUNTIF('Game Record'!G:G, A299))</f>
        <v/>
      </c>
      <c r="H299" s="6" t="str">
        <f>IF(A299 = "", "", COUNTIF('Game Record'!H:H, A299))</f>
        <v/>
      </c>
      <c r="I299" s="2">
        <f>IFERROR(__xludf.DUMMYFUNCTION("SUM(FILTER(TeamARecordSet, INDEX(TeamARecordSet, 0, 1) = A299)) + SUM(FILTER(TeamBRecordSet, INDEX(TeamBRecordSet, 0, 1) = A299))"),0.0)</f>
        <v>0</v>
      </c>
      <c r="J299" s="2">
        <f t="shared" si="2"/>
        <v>0</v>
      </c>
      <c r="K299" s="2" t="str">
        <f t="shared" si="3"/>
        <v/>
      </c>
    </row>
    <row r="300">
      <c r="A300" s="2"/>
      <c r="B300" s="7"/>
      <c r="D300" s="5" t="str">
        <f>IF(A300 = "", "", COUNTIFS('Game Record'!G:G, A300, 'Game Record'!E:E, C300))</f>
        <v/>
      </c>
      <c r="E300" s="6" t="str">
        <f>IF(A300 = "", "", COUNTIFS('Game Record'!H:H, A300, 'Game Record'!E:E, C300))</f>
        <v/>
      </c>
      <c r="F300" s="2">
        <f t="shared" si="1"/>
        <v>0</v>
      </c>
      <c r="G300" s="1" t="str">
        <f>IF(A300 = "", "", COUNTIF('Game Record'!G:G, A300))</f>
        <v/>
      </c>
      <c r="H300" s="6" t="str">
        <f>IF(A300 = "", "", COUNTIF('Game Record'!H:H, A300))</f>
        <v/>
      </c>
      <c r="I300" s="2">
        <f>IFERROR(__xludf.DUMMYFUNCTION("SUM(FILTER(TeamARecordSet, INDEX(TeamARecordSet, 0, 1) = A300)) + SUM(FILTER(TeamBRecordSet, INDEX(TeamBRecordSet, 0, 1) = A300))"),0.0)</f>
        <v>0</v>
      </c>
      <c r="J300" s="2">
        <f t="shared" si="2"/>
        <v>0</v>
      </c>
      <c r="K300" s="2" t="str">
        <f t="shared" si="3"/>
        <v/>
      </c>
    </row>
    <row r="301">
      <c r="A301" s="2"/>
      <c r="B301" s="7"/>
      <c r="D301" s="5" t="str">
        <f>IF(A301 = "", "", COUNTIFS('Game Record'!G:G, A301, 'Game Record'!E:E, C301))</f>
        <v/>
      </c>
      <c r="E301" s="6" t="str">
        <f>IF(A301 = "", "", COUNTIFS('Game Record'!H:H, A301, 'Game Record'!E:E, C301))</f>
        <v/>
      </c>
      <c r="F301" s="2">
        <f t="shared" si="1"/>
        <v>0</v>
      </c>
      <c r="G301" s="1" t="str">
        <f>IF(A301 = "", "", COUNTIF('Game Record'!G:G, A301))</f>
        <v/>
      </c>
      <c r="H301" s="6" t="str">
        <f>IF(A301 = "", "", COUNTIF('Game Record'!H:H, A301))</f>
        <v/>
      </c>
      <c r="I301" s="2">
        <f>IFERROR(__xludf.DUMMYFUNCTION("SUM(FILTER(TeamARecordSet, INDEX(TeamARecordSet, 0, 1) = A301)) + SUM(FILTER(TeamBRecordSet, INDEX(TeamBRecordSet, 0, 1) = A301))"),0.0)</f>
        <v>0</v>
      </c>
      <c r="J301" s="2">
        <f t="shared" si="2"/>
        <v>0</v>
      </c>
      <c r="K301" s="2" t="str">
        <f t="shared" si="3"/>
        <v/>
      </c>
    </row>
    <row r="302">
      <c r="A302" s="2"/>
      <c r="B302" s="7"/>
      <c r="D302" s="5" t="str">
        <f>IF(A302 = "", "", COUNTIFS('Game Record'!G:G, A302, 'Game Record'!E:E, C302))</f>
        <v/>
      </c>
      <c r="E302" s="6" t="str">
        <f>IF(A302 = "", "", COUNTIFS('Game Record'!H:H, A302, 'Game Record'!E:E, C302))</f>
        <v/>
      </c>
      <c r="F302" s="2">
        <f t="shared" si="1"/>
        <v>0</v>
      </c>
      <c r="G302" s="1" t="str">
        <f>IF(A302 = "", "", COUNTIF('Game Record'!G:G, A302))</f>
        <v/>
      </c>
      <c r="H302" s="6" t="str">
        <f>IF(A302 = "", "", COUNTIF('Game Record'!H:H, A302))</f>
        <v/>
      </c>
      <c r="I302" s="2">
        <f>IFERROR(__xludf.DUMMYFUNCTION("SUM(FILTER(TeamARecordSet, INDEX(TeamARecordSet, 0, 1) = A302)) + SUM(FILTER(TeamBRecordSet, INDEX(TeamBRecordSet, 0, 1) = A302))"),0.0)</f>
        <v>0</v>
      </c>
      <c r="J302" s="2">
        <f t="shared" si="2"/>
        <v>0</v>
      </c>
      <c r="K302" s="2" t="str">
        <f t="shared" si="3"/>
        <v/>
      </c>
    </row>
    <row r="303">
      <c r="A303" s="2"/>
      <c r="B303" s="7"/>
      <c r="D303" s="5" t="str">
        <f>IF(A303 = "", "", COUNTIFS('Game Record'!G:G, A303, 'Game Record'!E:E, C303))</f>
        <v/>
      </c>
      <c r="E303" s="6" t="str">
        <f>IF(A303 = "", "", COUNTIFS('Game Record'!H:H, A303, 'Game Record'!E:E, C303))</f>
        <v/>
      </c>
      <c r="F303" s="2">
        <f t="shared" si="1"/>
        <v>0</v>
      </c>
      <c r="G303" s="1" t="str">
        <f>IF(A303 = "", "", COUNTIF('Game Record'!G:G, A303))</f>
        <v/>
      </c>
      <c r="H303" s="6" t="str">
        <f>IF(A303 = "", "", COUNTIF('Game Record'!H:H, A303))</f>
        <v/>
      </c>
      <c r="I303" s="2">
        <f>IFERROR(__xludf.DUMMYFUNCTION("SUM(FILTER(TeamARecordSet, INDEX(TeamARecordSet, 0, 1) = A303)) + SUM(FILTER(TeamBRecordSet, INDEX(TeamBRecordSet, 0, 1) = A303))"),0.0)</f>
        <v>0</v>
      </c>
      <c r="J303" s="2">
        <f t="shared" si="2"/>
        <v>0</v>
      </c>
      <c r="K303" s="2" t="str">
        <f t="shared" si="3"/>
        <v/>
      </c>
    </row>
    <row r="304">
      <c r="A304" s="2"/>
      <c r="B304" s="7"/>
      <c r="D304" s="5" t="str">
        <f>IF(A304 = "", "", COUNTIFS('Game Record'!G:G, A304, 'Game Record'!E:E, C304))</f>
        <v/>
      </c>
      <c r="E304" s="6" t="str">
        <f>IF(A304 = "", "", COUNTIFS('Game Record'!H:H, A304, 'Game Record'!E:E, C304))</f>
        <v/>
      </c>
      <c r="F304" s="2">
        <f t="shared" si="1"/>
        <v>0</v>
      </c>
      <c r="G304" s="1" t="str">
        <f>IF(A304 = "", "", COUNTIF('Game Record'!G:G, A304))</f>
        <v/>
      </c>
      <c r="H304" s="6" t="str">
        <f>IF(A304 = "", "", COUNTIF('Game Record'!H:H, A304))</f>
        <v/>
      </c>
      <c r="I304" s="2">
        <f>IFERROR(__xludf.DUMMYFUNCTION("SUM(FILTER(TeamARecordSet, INDEX(TeamARecordSet, 0, 1) = A304)) + SUM(FILTER(TeamBRecordSet, INDEX(TeamBRecordSet, 0, 1) = A304))"),0.0)</f>
        <v>0</v>
      </c>
      <c r="J304" s="2">
        <f t="shared" si="2"/>
        <v>0</v>
      </c>
      <c r="K304" s="2" t="str">
        <f t="shared" si="3"/>
        <v/>
      </c>
    </row>
    <row r="305">
      <c r="A305" s="2"/>
      <c r="B305" s="7"/>
      <c r="D305" s="5" t="str">
        <f>IF(A305 = "", "", COUNTIFS('Game Record'!G:G, A305, 'Game Record'!E:E, C305))</f>
        <v/>
      </c>
      <c r="E305" s="6" t="str">
        <f>IF(A305 = "", "", COUNTIFS('Game Record'!H:H, A305, 'Game Record'!E:E, C305))</f>
        <v/>
      </c>
      <c r="F305" s="2">
        <f t="shared" si="1"/>
        <v>0</v>
      </c>
      <c r="G305" s="1" t="str">
        <f>IF(A305 = "", "", COUNTIF('Game Record'!G:G, A305))</f>
        <v/>
      </c>
      <c r="H305" s="6" t="str">
        <f>IF(A305 = "", "", COUNTIF('Game Record'!H:H, A305))</f>
        <v/>
      </c>
      <c r="I305" s="2">
        <f>IFERROR(__xludf.DUMMYFUNCTION("SUM(FILTER(TeamARecordSet, INDEX(TeamARecordSet, 0, 1) = A305)) + SUM(FILTER(TeamBRecordSet, INDEX(TeamBRecordSet, 0, 1) = A305))"),0.0)</f>
        <v>0</v>
      </c>
      <c r="J305" s="2">
        <f t="shared" si="2"/>
        <v>0</v>
      </c>
      <c r="K305" s="2" t="str">
        <f t="shared" si="3"/>
        <v/>
      </c>
    </row>
    <row r="306">
      <c r="A306" s="2"/>
      <c r="B306" s="7"/>
      <c r="D306" s="5" t="str">
        <f>IF(A306 = "", "", COUNTIFS('Game Record'!G:G, A306, 'Game Record'!E:E, C306))</f>
        <v/>
      </c>
      <c r="E306" s="6" t="str">
        <f>IF(A306 = "", "", COUNTIFS('Game Record'!H:H, A306, 'Game Record'!E:E, C306))</f>
        <v/>
      </c>
      <c r="F306" s="2">
        <f t="shared" si="1"/>
        <v>0</v>
      </c>
      <c r="G306" s="1" t="str">
        <f>IF(A306 = "", "", COUNTIF('Game Record'!G:G, A306))</f>
        <v/>
      </c>
      <c r="H306" s="6" t="str">
        <f>IF(A306 = "", "", COUNTIF('Game Record'!H:H, A306))</f>
        <v/>
      </c>
      <c r="I306" s="2">
        <f>IFERROR(__xludf.DUMMYFUNCTION("SUM(FILTER(TeamARecordSet, INDEX(TeamARecordSet, 0, 1) = A306)) + SUM(FILTER(TeamBRecordSet, INDEX(TeamBRecordSet, 0, 1) = A306))"),0.0)</f>
        <v>0</v>
      </c>
      <c r="J306" s="2">
        <f t="shared" si="2"/>
        <v>0</v>
      </c>
      <c r="K306" s="2" t="str">
        <f t="shared" si="3"/>
        <v/>
      </c>
    </row>
    <row r="307">
      <c r="A307" s="2"/>
      <c r="B307" s="7"/>
      <c r="D307" s="5" t="str">
        <f>IF(A307 = "", "", COUNTIFS('Game Record'!G:G, A307, 'Game Record'!E:E, C307))</f>
        <v/>
      </c>
      <c r="E307" s="6" t="str">
        <f>IF(A307 = "", "", COUNTIFS('Game Record'!H:H, A307, 'Game Record'!E:E, C307))</f>
        <v/>
      </c>
      <c r="F307" s="2">
        <f t="shared" si="1"/>
        <v>0</v>
      </c>
      <c r="G307" s="1" t="str">
        <f>IF(A307 = "", "", COUNTIF('Game Record'!G:G, A307))</f>
        <v/>
      </c>
      <c r="H307" s="6" t="str">
        <f>IF(A307 = "", "", COUNTIF('Game Record'!H:H, A307))</f>
        <v/>
      </c>
      <c r="I307" s="2">
        <f>IFERROR(__xludf.DUMMYFUNCTION("SUM(FILTER(TeamARecordSet, INDEX(TeamARecordSet, 0, 1) = A307)) + SUM(FILTER(TeamBRecordSet, INDEX(TeamBRecordSet, 0, 1) = A307))"),0.0)</f>
        <v>0</v>
      </c>
      <c r="J307" s="2">
        <f t="shared" si="2"/>
        <v>0</v>
      </c>
      <c r="K307" s="2" t="str">
        <f t="shared" si="3"/>
        <v/>
      </c>
    </row>
    <row r="308">
      <c r="A308" s="2"/>
      <c r="B308" s="7"/>
      <c r="D308" s="5" t="str">
        <f>IF(A308 = "", "", COUNTIFS('Game Record'!G:G, A308, 'Game Record'!E:E, C308))</f>
        <v/>
      </c>
      <c r="E308" s="6" t="str">
        <f>IF(A308 = "", "", COUNTIFS('Game Record'!H:H, A308, 'Game Record'!E:E, C308))</f>
        <v/>
      </c>
      <c r="F308" s="2">
        <f t="shared" si="1"/>
        <v>0</v>
      </c>
      <c r="G308" s="1" t="str">
        <f>IF(A308 = "", "", COUNTIF('Game Record'!G:G, A308))</f>
        <v/>
      </c>
      <c r="H308" s="6" t="str">
        <f>IF(A308 = "", "", COUNTIF('Game Record'!H:H, A308))</f>
        <v/>
      </c>
      <c r="I308" s="2">
        <f>IFERROR(__xludf.DUMMYFUNCTION("SUM(FILTER(TeamARecordSet, INDEX(TeamARecordSet, 0, 1) = A308)) + SUM(FILTER(TeamBRecordSet, INDEX(TeamBRecordSet, 0, 1) = A308))"),0.0)</f>
        <v>0</v>
      </c>
      <c r="J308" s="2">
        <f t="shared" si="2"/>
        <v>0</v>
      </c>
      <c r="K308" s="2" t="str">
        <f t="shared" si="3"/>
        <v/>
      </c>
    </row>
    <row r="309">
      <c r="A309" s="2"/>
      <c r="B309" s="7"/>
      <c r="D309" s="5" t="str">
        <f>IF(A309 = "", "", COUNTIFS('Game Record'!G:G, A309, 'Game Record'!E:E, C309))</f>
        <v/>
      </c>
      <c r="E309" s="6" t="str">
        <f>IF(A309 = "", "", COUNTIFS('Game Record'!H:H, A309, 'Game Record'!E:E, C309))</f>
        <v/>
      </c>
      <c r="F309" s="2">
        <f t="shared" si="1"/>
        <v>0</v>
      </c>
      <c r="G309" s="1" t="str">
        <f>IF(A309 = "", "", COUNTIF('Game Record'!G:G, A309))</f>
        <v/>
      </c>
      <c r="H309" s="6" t="str">
        <f>IF(A309 = "", "", COUNTIF('Game Record'!H:H, A309))</f>
        <v/>
      </c>
      <c r="I309" s="2">
        <f>IFERROR(__xludf.DUMMYFUNCTION("SUM(FILTER(TeamARecordSet, INDEX(TeamARecordSet, 0, 1) = A309)) + SUM(FILTER(TeamBRecordSet, INDEX(TeamBRecordSet, 0, 1) = A309))"),0.0)</f>
        <v>0</v>
      </c>
      <c r="J309" s="2">
        <f t="shared" si="2"/>
        <v>0</v>
      </c>
      <c r="K309" s="2" t="str">
        <f t="shared" si="3"/>
        <v/>
      </c>
    </row>
    <row r="310">
      <c r="A310" s="2"/>
      <c r="B310" s="7"/>
      <c r="D310" s="5" t="str">
        <f>IF(A310 = "", "", COUNTIFS('Game Record'!G:G, A310, 'Game Record'!E:E, C310))</f>
        <v/>
      </c>
      <c r="E310" s="6" t="str">
        <f>IF(A310 = "", "", COUNTIFS('Game Record'!H:H, A310, 'Game Record'!E:E, C310))</f>
        <v/>
      </c>
      <c r="F310" s="2">
        <f t="shared" si="1"/>
        <v>0</v>
      </c>
      <c r="G310" s="1" t="str">
        <f>IF(A310 = "", "", COUNTIF('Game Record'!G:G, A310))</f>
        <v/>
      </c>
      <c r="H310" s="6" t="str">
        <f>IF(A310 = "", "", COUNTIF('Game Record'!H:H, A310))</f>
        <v/>
      </c>
      <c r="I310" s="2">
        <f>IFERROR(__xludf.DUMMYFUNCTION("SUM(FILTER(TeamARecordSet, INDEX(TeamARecordSet, 0, 1) = A310)) + SUM(FILTER(TeamBRecordSet, INDEX(TeamBRecordSet, 0, 1) = A310))"),0.0)</f>
        <v>0</v>
      </c>
      <c r="J310" s="2">
        <f t="shared" si="2"/>
        <v>0</v>
      </c>
      <c r="K310" s="2" t="str">
        <f t="shared" si="3"/>
        <v/>
      </c>
    </row>
    <row r="311">
      <c r="A311" s="2"/>
      <c r="B311" s="7"/>
      <c r="D311" s="5" t="str">
        <f>IF(A311 = "", "", COUNTIFS('Game Record'!G:G, A311, 'Game Record'!E:E, C311))</f>
        <v/>
      </c>
      <c r="E311" s="6" t="str">
        <f>IF(A311 = "", "", COUNTIFS('Game Record'!H:H, A311, 'Game Record'!E:E, C311))</f>
        <v/>
      </c>
      <c r="F311" s="2">
        <f t="shared" si="1"/>
        <v>0</v>
      </c>
      <c r="G311" s="1" t="str">
        <f>IF(A311 = "", "", COUNTIF('Game Record'!G:G, A311))</f>
        <v/>
      </c>
      <c r="H311" s="6" t="str">
        <f>IF(A311 = "", "", COUNTIF('Game Record'!H:H, A311))</f>
        <v/>
      </c>
      <c r="I311" s="2">
        <f>IFERROR(__xludf.DUMMYFUNCTION("SUM(FILTER(TeamARecordSet, INDEX(TeamARecordSet, 0, 1) = A311)) + SUM(FILTER(TeamBRecordSet, INDEX(TeamBRecordSet, 0, 1) = A311))"),0.0)</f>
        <v>0</v>
      </c>
      <c r="J311" s="2">
        <f t="shared" si="2"/>
        <v>0</v>
      </c>
      <c r="K311" s="2" t="str">
        <f t="shared" si="3"/>
        <v/>
      </c>
    </row>
    <row r="312">
      <c r="A312" s="2"/>
      <c r="B312" s="7"/>
      <c r="D312" s="5" t="str">
        <f>IF(A312 = "", "", COUNTIFS('Game Record'!G:G, A312, 'Game Record'!E:E, C312))</f>
        <v/>
      </c>
      <c r="E312" s="6" t="str">
        <f>IF(A312 = "", "", COUNTIFS('Game Record'!H:H, A312, 'Game Record'!E:E, C312))</f>
        <v/>
      </c>
      <c r="F312" s="2">
        <f t="shared" si="1"/>
        <v>0</v>
      </c>
      <c r="G312" s="1" t="str">
        <f>IF(A312 = "", "", COUNTIF('Game Record'!G:G, A312))</f>
        <v/>
      </c>
      <c r="H312" s="6" t="str">
        <f>IF(A312 = "", "", COUNTIF('Game Record'!H:H, A312))</f>
        <v/>
      </c>
      <c r="I312" s="2">
        <f>IFERROR(__xludf.DUMMYFUNCTION("SUM(FILTER(TeamARecordSet, INDEX(TeamARecordSet, 0, 1) = A312)) + SUM(FILTER(TeamBRecordSet, INDEX(TeamBRecordSet, 0, 1) = A312))"),0.0)</f>
        <v>0</v>
      </c>
      <c r="J312" s="2">
        <f t="shared" si="2"/>
        <v>0</v>
      </c>
      <c r="K312" s="2" t="str">
        <f t="shared" si="3"/>
        <v/>
      </c>
    </row>
    <row r="313">
      <c r="A313" s="2"/>
      <c r="B313" s="7"/>
      <c r="D313" s="5" t="str">
        <f>IF(A313 = "", "", COUNTIFS('Game Record'!G:G, A313, 'Game Record'!E:E, C313))</f>
        <v/>
      </c>
      <c r="E313" s="6" t="str">
        <f>IF(A313 = "", "", COUNTIFS('Game Record'!H:H, A313, 'Game Record'!E:E, C313))</f>
        <v/>
      </c>
      <c r="F313" s="2">
        <f t="shared" si="1"/>
        <v>0</v>
      </c>
      <c r="G313" s="1" t="str">
        <f>IF(A313 = "", "", COUNTIF('Game Record'!G:G, A313))</f>
        <v/>
      </c>
      <c r="H313" s="6" t="str">
        <f>IF(A313 = "", "", COUNTIF('Game Record'!H:H, A313))</f>
        <v/>
      </c>
      <c r="I313" s="2">
        <f>IFERROR(__xludf.DUMMYFUNCTION("SUM(FILTER(TeamARecordSet, INDEX(TeamARecordSet, 0, 1) = A313)) + SUM(FILTER(TeamBRecordSet, INDEX(TeamBRecordSet, 0, 1) = A313))"),0.0)</f>
        <v>0</v>
      </c>
      <c r="J313" s="2">
        <f t="shared" si="2"/>
        <v>0</v>
      </c>
      <c r="K313" s="2" t="str">
        <f t="shared" si="3"/>
        <v/>
      </c>
    </row>
    <row r="314">
      <c r="A314" s="2"/>
      <c r="B314" s="7"/>
      <c r="D314" s="5" t="str">
        <f>IF(A314 = "", "", COUNTIFS('Game Record'!G:G, A314, 'Game Record'!E:E, C314))</f>
        <v/>
      </c>
      <c r="E314" s="6" t="str">
        <f>IF(A314 = "", "", COUNTIFS('Game Record'!H:H, A314, 'Game Record'!E:E, C314))</f>
        <v/>
      </c>
      <c r="F314" s="2">
        <f t="shared" si="1"/>
        <v>0</v>
      </c>
      <c r="G314" s="1" t="str">
        <f>IF(A314 = "", "", COUNTIF('Game Record'!G:G, A314))</f>
        <v/>
      </c>
      <c r="H314" s="6" t="str">
        <f>IF(A314 = "", "", COUNTIF('Game Record'!H:H, A314))</f>
        <v/>
      </c>
      <c r="I314" s="2">
        <f>IFERROR(__xludf.DUMMYFUNCTION("SUM(FILTER(TeamARecordSet, INDEX(TeamARecordSet, 0, 1) = A314)) + SUM(FILTER(TeamBRecordSet, INDEX(TeamBRecordSet, 0, 1) = A314))"),0.0)</f>
        <v>0</v>
      </c>
      <c r="J314" s="2">
        <f t="shared" si="2"/>
        <v>0</v>
      </c>
      <c r="K314" s="2" t="str">
        <f t="shared" si="3"/>
        <v/>
      </c>
    </row>
    <row r="315">
      <c r="A315" s="2"/>
      <c r="B315" s="7"/>
      <c r="D315" s="5" t="str">
        <f>IF(A315 = "", "", COUNTIFS('Game Record'!G:G, A315, 'Game Record'!E:E, C315))</f>
        <v/>
      </c>
      <c r="E315" s="6" t="str">
        <f>IF(A315 = "", "", COUNTIFS('Game Record'!H:H, A315, 'Game Record'!E:E, C315))</f>
        <v/>
      </c>
      <c r="F315" s="2">
        <f t="shared" si="1"/>
        <v>0</v>
      </c>
      <c r="G315" s="1" t="str">
        <f>IF(A315 = "", "", COUNTIF('Game Record'!G:G, A315))</f>
        <v/>
      </c>
      <c r="H315" s="6" t="str">
        <f>IF(A315 = "", "", COUNTIF('Game Record'!H:H, A315))</f>
        <v/>
      </c>
      <c r="I315" s="2">
        <f>IFERROR(__xludf.DUMMYFUNCTION("SUM(FILTER(TeamARecordSet, INDEX(TeamARecordSet, 0, 1) = A315)) + SUM(FILTER(TeamBRecordSet, INDEX(TeamBRecordSet, 0, 1) = A315))"),0.0)</f>
        <v>0</v>
      </c>
      <c r="J315" s="2">
        <f t="shared" si="2"/>
        <v>0</v>
      </c>
      <c r="K315" s="2" t="str">
        <f t="shared" si="3"/>
        <v/>
      </c>
    </row>
    <row r="316">
      <c r="A316" s="2"/>
      <c r="B316" s="7"/>
      <c r="D316" s="5" t="str">
        <f>IF(A316 = "", "", COUNTIFS('Game Record'!G:G, A316, 'Game Record'!E:E, C316))</f>
        <v/>
      </c>
      <c r="E316" s="6" t="str">
        <f>IF(A316 = "", "", COUNTIFS('Game Record'!H:H, A316, 'Game Record'!E:E, C316))</f>
        <v/>
      </c>
      <c r="F316" s="2">
        <f t="shared" si="1"/>
        <v>0</v>
      </c>
      <c r="G316" s="1" t="str">
        <f>IF(A316 = "", "", COUNTIF('Game Record'!G:G, A316))</f>
        <v/>
      </c>
      <c r="H316" s="6" t="str">
        <f>IF(A316 = "", "", COUNTIF('Game Record'!H:H, A316))</f>
        <v/>
      </c>
      <c r="I316" s="2">
        <f>IFERROR(__xludf.DUMMYFUNCTION("SUM(FILTER(TeamARecordSet, INDEX(TeamARecordSet, 0, 1) = A316)) + SUM(FILTER(TeamBRecordSet, INDEX(TeamBRecordSet, 0, 1) = A316))"),0.0)</f>
        <v>0</v>
      </c>
      <c r="J316" s="2">
        <f t="shared" si="2"/>
        <v>0</v>
      </c>
      <c r="K316" s="2" t="str">
        <f t="shared" si="3"/>
        <v/>
      </c>
    </row>
    <row r="317">
      <c r="A317" s="2"/>
      <c r="B317" s="7"/>
      <c r="D317" s="5" t="str">
        <f>IF(A317 = "", "", COUNTIFS('Game Record'!G:G, A317, 'Game Record'!E:E, C317))</f>
        <v/>
      </c>
      <c r="E317" s="6" t="str">
        <f>IF(A317 = "", "", COUNTIFS('Game Record'!H:H, A317, 'Game Record'!E:E, C317))</f>
        <v/>
      </c>
      <c r="F317" s="2">
        <f t="shared" si="1"/>
        <v>0</v>
      </c>
      <c r="G317" s="1" t="str">
        <f>IF(A317 = "", "", COUNTIF('Game Record'!G:G, A317))</f>
        <v/>
      </c>
      <c r="H317" s="6" t="str">
        <f>IF(A317 = "", "", COUNTIF('Game Record'!H:H, A317))</f>
        <v/>
      </c>
      <c r="I317" s="2">
        <f>IFERROR(__xludf.DUMMYFUNCTION("SUM(FILTER(TeamARecordSet, INDEX(TeamARecordSet, 0, 1) = A317)) + SUM(FILTER(TeamBRecordSet, INDEX(TeamBRecordSet, 0, 1) = A317))"),0.0)</f>
        <v>0</v>
      </c>
      <c r="J317" s="2">
        <f t="shared" si="2"/>
        <v>0</v>
      </c>
      <c r="K317" s="2" t="str">
        <f t="shared" si="3"/>
        <v/>
      </c>
    </row>
    <row r="318">
      <c r="A318" s="2"/>
      <c r="B318" s="7"/>
      <c r="D318" s="5" t="str">
        <f>IF(A318 = "", "", COUNTIFS('Game Record'!G:G, A318, 'Game Record'!E:E, C318))</f>
        <v/>
      </c>
      <c r="E318" s="6" t="str">
        <f>IF(A318 = "", "", COUNTIFS('Game Record'!H:H, A318, 'Game Record'!E:E, C318))</f>
        <v/>
      </c>
      <c r="F318" s="2">
        <f t="shared" si="1"/>
        <v>0</v>
      </c>
      <c r="G318" s="1" t="str">
        <f>IF(A318 = "", "", COUNTIF('Game Record'!G:G, A318))</f>
        <v/>
      </c>
      <c r="H318" s="6" t="str">
        <f>IF(A318 = "", "", COUNTIF('Game Record'!H:H, A318))</f>
        <v/>
      </c>
      <c r="I318" s="2">
        <f>IFERROR(__xludf.DUMMYFUNCTION("SUM(FILTER(TeamARecordSet, INDEX(TeamARecordSet, 0, 1) = A318)) + SUM(FILTER(TeamBRecordSet, INDEX(TeamBRecordSet, 0, 1) = A318))"),0.0)</f>
        <v>0</v>
      </c>
      <c r="J318" s="2">
        <f t="shared" si="2"/>
        <v>0</v>
      </c>
      <c r="K318" s="2" t="str">
        <f t="shared" si="3"/>
        <v/>
      </c>
    </row>
    <row r="319">
      <c r="A319" s="2"/>
      <c r="B319" s="7"/>
      <c r="D319" s="5" t="str">
        <f>IF(A319 = "", "", COUNTIFS('Game Record'!G:G, A319, 'Game Record'!E:E, C319))</f>
        <v/>
      </c>
      <c r="E319" s="6" t="str">
        <f>IF(A319 = "", "", COUNTIFS('Game Record'!H:H, A319, 'Game Record'!E:E, C319))</f>
        <v/>
      </c>
      <c r="F319" s="2">
        <f t="shared" si="1"/>
        <v>0</v>
      </c>
      <c r="G319" s="1" t="str">
        <f>IF(A319 = "", "", COUNTIF('Game Record'!G:G, A319))</f>
        <v/>
      </c>
      <c r="H319" s="6" t="str">
        <f>IF(A319 = "", "", COUNTIF('Game Record'!H:H, A319))</f>
        <v/>
      </c>
      <c r="I319" s="2">
        <f>IFERROR(__xludf.DUMMYFUNCTION("SUM(FILTER(TeamARecordSet, INDEX(TeamARecordSet, 0, 1) = A319)) + SUM(FILTER(TeamBRecordSet, INDEX(TeamBRecordSet, 0, 1) = A319))"),0.0)</f>
        <v>0</v>
      </c>
      <c r="J319" s="2">
        <f t="shared" si="2"/>
        <v>0</v>
      </c>
      <c r="K319" s="2" t="str">
        <f t="shared" si="3"/>
        <v/>
      </c>
    </row>
    <row r="320">
      <c r="A320" s="2"/>
      <c r="B320" s="7"/>
      <c r="D320" s="5" t="str">
        <f>IF(A320 = "", "", COUNTIFS('Game Record'!G:G, A320, 'Game Record'!E:E, C320))</f>
        <v/>
      </c>
      <c r="E320" s="6" t="str">
        <f>IF(A320 = "", "", COUNTIFS('Game Record'!H:H, A320, 'Game Record'!E:E, C320))</f>
        <v/>
      </c>
      <c r="F320" s="2">
        <f t="shared" si="1"/>
        <v>0</v>
      </c>
      <c r="G320" s="1" t="str">
        <f>IF(A320 = "", "", COUNTIF('Game Record'!G:G, A320))</f>
        <v/>
      </c>
      <c r="H320" s="6" t="str">
        <f>IF(A320 = "", "", COUNTIF('Game Record'!H:H, A320))</f>
        <v/>
      </c>
      <c r="I320" s="2">
        <f>IFERROR(__xludf.DUMMYFUNCTION("SUM(FILTER(TeamARecordSet, INDEX(TeamARecordSet, 0, 1) = A320)) + SUM(FILTER(TeamBRecordSet, INDEX(TeamBRecordSet, 0, 1) = A320))"),0.0)</f>
        <v>0</v>
      </c>
      <c r="J320" s="2">
        <f t="shared" si="2"/>
        <v>0</v>
      </c>
      <c r="K320" s="2" t="str">
        <f t="shared" si="3"/>
        <v/>
      </c>
    </row>
    <row r="321">
      <c r="A321" s="2"/>
      <c r="B321" s="7"/>
      <c r="D321" s="5" t="str">
        <f>IF(A321 = "", "", COUNTIFS('Game Record'!G:G, A321, 'Game Record'!E:E, C321))</f>
        <v/>
      </c>
      <c r="E321" s="6" t="str">
        <f>IF(A321 = "", "", COUNTIFS('Game Record'!H:H, A321, 'Game Record'!E:E, C321))</f>
        <v/>
      </c>
      <c r="F321" s="2">
        <f t="shared" si="1"/>
        <v>0</v>
      </c>
      <c r="G321" s="1" t="str">
        <f>IF(A321 = "", "", COUNTIF('Game Record'!G:G, A321))</f>
        <v/>
      </c>
      <c r="H321" s="6" t="str">
        <f>IF(A321 = "", "", COUNTIF('Game Record'!H:H, A321))</f>
        <v/>
      </c>
      <c r="I321" s="2">
        <f>IFERROR(__xludf.DUMMYFUNCTION("SUM(FILTER(TeamARecordSet, INDEX(TeamARecordSet, 0, 1) = A321)) + SUM(FILTER(TeamBRecordSet, INDEX(TeamBRecordSet, 0, 1) = A321))"),0.0)</f>
        <v>0</v>
      </c>
      <c r="J321" s="2">
        <f t="shared" si="2"/>
        <v>0</v>
      </c>
      <c r="K321" s="2" t="str">
        <f t="shared" si="3"/>
        <v/>
      </c>
    </row>
    <row r="322">
      <c r="A322" s="2"/>
      <c r="B322" s="7"/>
      <c r="D322" s="5" t="str">
        <f>IF(A322 = "", "", COUNTIFS('Game Record'!G:G, A322, 'Game Record'!E:E, C322))</f>
        <v/>
      </c>
      <c r="E322" s="6" t="str">
        <f>IF(A322 = "", "", COUNTIFS('Game Record'!H:H, A322, 'Game Record'!E:E, C322))</f>
        <v/>
      </c>
      <c r="F322" s="2">
        <f t="shared" si="1"/>
        <v>0</v>
      </c>
      <c r="G322" s="1" t="str">
        <f>IF(A322 = "", "", COUNTIF('Game Record'!G:G, A322))</f>
        <v/>
      </c>
      <c r="H322" s="6" t="str">
        <f>IF(A322 = "", "", COUNTIF('Game Record'!H:H, A322))</f>
        <v/>
      </c>
      <c r="I322" s="2">
        <f>IFERROR(__xludf.DUMMYFUNCTION("SUM(FILTER(TeamARecordSet, INDEX(TeamARecordSet, 0, 1) = A322)) + SUM(FILTER(TeamBRecordSet, INDEX(TeamBRecordSet, 0, 1) = A322))"),0.0)</f>
        <v>0</v>
      </c>
      <c r="J322" s="2">
        <f t="shared" si="2"/>
        <v>0</v>
      </c>
      <c r="K322" s="2" t="str">
        <f t="shared" si="3"/>
        <v/>
      </c>
    </row>
    <row r="323">
      <c r="A323" s="2"/>
      <c r="B323" s="7"/>
      <c r="D323" s="5" t="str">
        <f>IF(A323 = "", "", COUNTIFS('Game Record'!G:G, A323, 'Game Record'!E:E, C323))</f>
        <v/>
      </c>
      <c r="E323" s="6" t="str">
        <f>IF(A323 = "", "", COUNTIFS('Game Record'!H:H, A323, 'Game Record'!E:E, C323))</f>
        <v/>
      </c>
      <c r="F323" s="2">
        <f t="shared" si="1"/>
        <v>0</v>
      </c>
      <c r="G323" s="1" t="str">
        <f>IF(A323 = "", "", COUNTIF('Game Record'!G:G, A323))</f>
        <v/>
      </c>
      <c r="H323" s="6" t="str">
        <f>IF(A323 = "", "", COUNTIF('Game Record'!H:H, A323))</f>
        <v/>
      </c>
      <c r="I323" s="2">
        <f>IFERROR(__xludf.DUMMYFUNCTION("SUM(FILTER(TeamARecordSet, INDEX(TeamARecordSet, 0, 1) = A323)) + SUM(FILTER(TeamBRecordSet, INDEX(TeamBRecordSet, 0, 1) = A323))"),0.0)</f>
        <v>0</v>
      </c>
      <c r="J323" s="2">
        <f t="shared" si="2"/>
        <v>0</v>
      </c>
      <c r="K323" s="2" t="str">
        <f t="shared" si="3"/>
        <v/>
      </c>
    </row>
    <row r="324">
      <c r="A324" s="2"/>
      <c r="B324" s="7"/>
      <c r="D324" s="5" t="str">
        <f>IF(A324 = "", "", COUNTIFS('Game Record'!G:G, A324, 'Game Record'!E:E, C324))</f>
        <v/>
      </c>
      <c r="E324" s="6" t="str">
        <f>IF(A324 = "", "", COUNTIFS('Game Record'!H:H, A324, 'Game Record'!E:E, C324))</f>
        <v/>
      </c>
      <c r="F324" s="2">
        <f t="shared" si="1"/>
        <v>0</v>
      </c>
      <c r="G324" s="1" t="str">
        <f>IF(A324 = "", "", COUNTIF('Game Record'!G:G, A324))</f>
        <v/>
      </c>
      <c r="H324" s="6" t="str">
        <f>IF(A324 = "", "", COUNTIF('Game Record'!H:H, A324))</f>
        <v/>
      </c>
      <c r="I324" s="2">
        <f>IFERROR(__xludf.DUMMYFUNCTION("SUM(FILTER(TeamARecordSet, INDEX(TeamARecordSet, 0, 1) = A324)) + SUM(FILTER(TeamBRecordSet, INDEX(TeamBRecordSet, 0, 1) = A324))"),0.0)</f>
        <v>0</v>
      </c>
      <c r="J324" s="2">
        <f t="shared" si="2"/>
        <v>0</v>
      </c>
      <c r="K324" s="2" t="str">
        <f t="shared" si="3"/>
        <v/>
      </c>
    </row>
    <row r="325">
      <c r="A325" s="2"/>
      <c r="B325" s="7"/>
      <c r="D325" s="5" t="str">
        <f>IF(A325 = "", "", COUNTIFS('Game Record'!G:G, A325, 'Game Record'!E:E, C325))</f>
        <v/>
      </c>
      <c r="E325" s="6" t="str">
        <f>IF(A325 = "", "", COUNTIFS('Game Record'!H:H, A325, 'Game Record'!E:E, C325))</f>
        <v/>
      </c>
      <c r="F325" s="2">
        <f t="shared" si="1"/>
        <v>0</v>
      </c>
      <c r="G325" s="1" t="str">
        <f>IF(A325 = "", "", COUNTIF('Game Record'!G:G, A325))</f>
        <v/>
      </c>
      <c r="H325" s="6" t="str">
        <f>IF(A325 = "", "", COUNTIF('Game Record'!H:H, A325))</f>
        <v/>
      </c>
      <c r="I325" s="2">
        <f>IFERROR(__xludf.DUMMYFUNCTION("SUM(FILTER(TeamARecordSet, INDEX(TeamARecordSet, 0, 1) = A325)) + SUM(FILTER(TeamBRecordSet, INDEX(TeamBRecordSet, 0, 1) = A325))"),0.0)</f>
        <v>0</v>
      </c>
      <c r="J325" s="2">
        <f t="shared" si="2"/>
        <v>0</v>
      </c>
      <c r="K325" s="2" t="str">
        <f t="shared" si="3"/>
        <v/>
      </c>
    </row>
    <row r="326">
      <c r="A326" s="2"/>
      <c r="B326" s="7"/>
      <c r="D326" s="5" t="str">
        <f>IF(A326 = "", "", COUNTIFS('Game Record'!G:G, A326, 'Game Record'!E:E, C326))</f>
        <v/>
      </c>
      <c r="E326" s="6" t="str">
        <f>IF(A326 = "", "", COUNTIFS('Game Record'!H:H, A326, 'Game Record'!E:E, C326))</f>
        <v/>
      </c>
      <c r="F326" s="2">
        <f t="shared" si="1"/>
        <v>0</v>
      </c>
      <c r="G326" s="1" t="str">
        <f>IF(A326 = "", "", COUNTIF('Game Record'!G:G, A326))</f>
        <v/>
      </c>
      <c r="H326" s="6" t="str">
        <f>IF(A326 = "", "", COUNTIF('Game Record'!H:H, A326))</f>
        <v/>
      </c>
      <c r="I326" s="2">
        <f>IFERROR(__xludf.DUMMYFUNCTION("SUM(FILTER(TeamARecordSet, INDEX(TeamARecordSet, 0, 1) = A326)) + SUM(FILTER(TeamBRecordSet, INDEX(TeamBRecordSet, 0, 1) = A326))"),0.0)</f>
        <v>0</v>
      </c>
      <c r="J326" s="2">
        <f t="shared" si="2"/>
        <v>0</v>
      </c>
      <c r="K326" s="2" t="str">
        <f t="shared" si="3"/>
        <v/>
      </c>
    </row>
    <row r="327">
      <c r="A327" s="2"/>
      <c r="B327" s="7"/>
      <c r="D327" s="5" t="str">
        <f>IF(A327 = "", "", COUNTIFS('Game Record'!G:G, A327, 'Game Record'!E:E, C327))</f>
        <v/>
      </c>
      <c r="E327" s="6" t="str">
        <f>IF(A327 = "", "", COUNTIFS('Game Record'!H:H, A327, 'Game Record'!E:E, C327))</f>
        <v/>
      </c>
      <c r="F327" s="2">
        <f t="shared" si="1"/>
        <v>0</v>
      </c>
      <c r="G327" s="1" t="str">
        <f>IF(A327 = "", "", COUNTIF('Game Record'!G:G, A327))</f>
        <v/>
      </c>
      <c r="H327" s="6" t="str">
        <f>IF(A327 = "", "", COUNTIF('Game Record'!H:H, A327))</f>
        <v/>
      </c>
      <c r="I327" s="2">
        <f>IFERROR(__xludf.DUMMYFUNCTION("SUM(FILTER(TeamARecordSet, INDEX(TeamARecordSet, 0, 1) = A327)) + SUM(FILTER(TeamBRecordSet, INDEX(TeamBRecordSet, 0, 1) = A327))"),0.0)</f>
        <v>0</v>
      </c>
      <c r="J327" s="2">
        <f t="shared" si="2"/>
        <v>0</v>
      </c>
      <c r="K327" s="2" t="str">
        <f t="shared" si="3"/>
        <v/>
      </c>
    </row>
    <row r="328">
      <c r="A328" s="2"/>
      <c r="B328" s="7"/>
      <c r="D328" s="5" t="str">
        <f>IF(A328 = "", "", COUNTIFS('Game Record'!G:G, A328, 'Game Record'!E:E, C328))</f>
        <v/>
      </c>
      <c r="E328" s="6" t="str">
        <f>IF(A328 = "", "", COUNTIFS('Game Record'!H:H, A328, 'Game Record'!E:E, C328))</f>
        <v/>
      </c>
      <c r="F328" s="2">
        <f t="shared" si="1"/>
        <v>0</v>
      </c>
      <c r="G328" s="1" t="str">
        <f>IF(A328 = "", "", COUNTIF('Game Record'!G:G, A328))</f>
        <v/>
      </c>
      <c r="H328" s="6" t="str">
        <f>IF(A328 = "", "", COUNTIF('Game Record'!H:H, A328))</f>
        <v/>
      </c>
      <c r="I328" s="2">
        <f>IFERROR(__xludf.DUMMYFUNCTION("SUM(FILTER(TeamARecordSet, INDEX(TeamARecordSet, 0, 1) = A328)) + SUM(FILTER(TeamBRecordSet, INDEX(TeamBRecordSet, 0, 1) = A328))"),0.0)</f>
        <v>0</v>
      </c>
      <c r="J328" s="2">
        <f t="shared" si="2"/>
        <v>0</v>
      </c>
      <c r="K328" s="2" t="str">
        <f t="shared" si="3"/>
        <v/>
      </c>
    </row>
    <row r="329">
      <c r="A329" s="2"/>
      <c r="B329" s="7"/>
      <c r="D329" s="5" t="str">
        <f>IF(A329 = "", "", COUNTIFS('Game Record'!G:G, A329, 'Game Record'!E:E, C329))</f>
        <v/>
      </c>
      <c r="E329" s="6" t="str">
        <f>IF(A329 = "", "", COUNTIFS('Game Record'!H:H, A329, 'Game Record'!E:E, C329))</f>
        <v/>
      </c>
      <c r="F329" s="2">
        <f t="shared" si="1"/>
        <v>0</v>
      </c>
      <c r="G329" s="1" t="str">
        <f>IF(A329 = "", "", COUNTIF('Game Record'!G:G, A329))</f>
        <v/>
      </c>
      <c r="H329" s="6" t="str">
        <f>IF(A329 = "", "", COUNTIF('Game Record'!H:H, A329))</f>
        <v/>
      </c>
      <c r="I329" s="2">
        <f>IFERROR(__xludf.DUMMYFUNCTION("SUM(FILTER(TeamARecordSet, INDEX(TeamARecordSet, 0, 1) = A329)) + SUM(FILTER(TeamBRecordSet, INDEX(TeamBRecordSet, 0, 1) = A329))"),0.0)</f>
        <v>0</v>
      </c>
      <c r="J329" s="2">
        <f t="shared" si="2"/>
        <v>0</v>
      </c>
      <c r="K329" s="2" t="str">
        <f t="shared" si="3"/>
        <v/>
      </c>
    </row>
    <row r="330">
      <c r="A330" s="2"/>
      <c r="B330" s="7"/>
      <c r="D330" s="5" t="str">
        <f>IF(A330 = "", "", COUNTIFS('Game Record'!G:G, A330, 'Game Record'!E:E, C330))</f>
        <v/>
      </c>
      <c r="E330" s="6" t="str">
        <f>IF(A330 = "", "", COUNTIFS('Game Record'!H:H, A330, 'Game Record'!E:E, C330))</f>
        <v/>
      </c>
      <c r="F330" s="2">
        <f t="shared" si="1"/>
        <v>0</v>
      </c>
      <c r="G330" s="1" t="str">
        <f>IF(A330 = "", "", COUNTIF('Game Record'!G:G, A330))</f>
        <v/>
      </c>
      <c r="H330" s="6" t="str">
        <f>IF(A330 = "", "", COUNTIF('Game Record'!H:H, A330))</f>
        <v/>
      </c>
      <c r="I330" s="2">
        <f>IFERROR(__xludf.DUMMYFUNCTION("SUM(FILTER(TeamARecordSet, INDEX(TeamARecordSet, 0, 1) = A330)) + SUM(FILTER(TeamBRecordSet, INDEX(TeamBRecordSet, 0, 1) = A330))"),0.0)</f>
        <v>0</v>
      </c>
      <c r="J330" s="2">
        <f t="shared" si="2"/>
        <v>0</v>
      </c>
      <c r="K330" s="2" t="str">
        <f t="shared" si="3"/>
        <v/>
      </c>
    </row>
    <row r="331">
      <c r="A331" s="2"/>
      <c r="B331" s="7"/>
      <c r="D331" s="5" t="str">
        <f>IF(A331 = "", "", COUNTIFS('Game Record'!G:G, A331, 'Game Record'!E:E, C331))</f>
        <v/>
      </c>
      <c r="E331" s="6" t="str">
        <f>IF(A331 = "", "", COUNTIFS('Game Record'!H:H, A331, 'Game Record'!E:E, C331))</f>
        <v/>
      </c>
      <c r="F331" s="2">
        <f t="shared" si="1"/>
        <v>0</v>
      </c>
      <c r="G331" s="1" t="str">
        <f>IF(A331 = "", "", COUNTIF('Game Record'!G:G, A331))</f>
        <v/>
      </c>
      <c r="H331" s="6" t="str">
        <f>IF(A331 = "", "", COUNTIF('Game Record'!H:H, A331))</f>
        <v/>
      </c>
      <c r="I331" s="2">
        <f>IFERROR(__xludf.DUMMYFUNCTION("SUM(FILTER(TeamARecordSet, INDEX(TeamARecordSet, 0, 1) = A331)) + SUM(FILTER(TeamBRecordSet, INDEX(TeamBRecordSet, 0, 1) = A331))"),0.0)</f>
        <v>0</v>
      </c>
      <c r="J331" s="2">
        <f t="shared" si="2"/>
        <v>0</v>
      </c>
      <c r="K331" s="2" t="str">
        <f t="shared" si="3"/>
        <v/>
      </c>
    </row>
    <row r="332">
      <c r="A332" s="2"/>
      <c r="B332" s="7"/>
      <c r="D332" s="5" t="str">
        <f>IF(A332 = "", "", COUNTIFS('Game Record'!G:G, A332, 'Game Record'!E:E, C332))</f>
        <v/>
      </c>
      <c r="E332" s="6" t="str">
        <f>IF(A332 = "", "", COUNTIFS('Game Record'!H:H, A332, 'Game Record'!E:E, C332))</f>
        <v/>
      </c>
      <c r="F332" s="2">
        <f t="shared" si="1"/>
        <v>0</v>
      </c>
      <c r="G332" s="1" t="str">
        <f>IF(A332 = "", "", COUNTIF('Game Record'!G:G, A332))</f>
        <v/>
      </c>
      <c r="H332" s="6" t="str">
        <f>IF(A332 = "", "", COUNTIF('Game Record'!H:H, A332))</f>
        <v/>
      </c>
      <c r="I332" s="2">
        <f>IFERROR(__xludf.DUMMYFUNCTION("SUM(FILTER(TeamARecordSet, INDEX(TeamARecordSet, 0, 1) = A332)) + SUM(FILTER(TeamBRecordSet, INDEX(TeamBRecordSet, 0, 1) = A332))"),0.0)</f>
        <v>0</v>
      </c>
      <c r="J332" s="2">
        <f t="shared" si="2"/>
        <v>0</v>
      </c>
      <c r="K332" s="2" t="str">
        <f t="shared" si="3"/>
        <v/>
      </c>
    </row>
    <row r="333">
      <c r="A333" s="2"/>
      <c r="B333" s="7"/>
      <c r="D333" s="5" t="str">
        <f>IF(A333 = "", "", COUNTIFS('Game Record'!G:G, A333, 'Game Record'!E:E, C333))</f>
        <v/>
      </c>
      <c r="E333" s="6" t="str">
        <f>IF(A333 = "", "", COUNTIFS('Game Record'!H:H, A333, 'Game Record'!E:E, C333))</f>
        <v/>
      </c>
      <c r="F333" s="2">
        <f t="shared" si="1"/>
        <v>0</v>
      </c>
      <c r="G333" s="1" t="str">
        <f>IF(A333 = "", "", COUNTIF('Game Record'!G:G, A333))</f>
        <v/>
      </c>
      <c r="H333" s="6" t="str">
        <f>IF(A333 = "", "", COUNTIF('Game Record'!H:H, A333))</f>
        <v/>
      </c>
      <c r="I333" s="2">
        <f>IFERROR(__xludf.DUMMYFUNCTION("SUM(FILTER(TeamARecordSet, INDEX(TeamARecordSet, 0, 1) = A333)) + SUM(FILTER(TeamBRecordSet, INDEX(TeamBRecordSet, 0, 1) = A333))"),0.0)</f>
        <v>0</v>
      </c>
      <c r="J333" s="2">
        <f t="shared" si="2"/>
        <v>0</v>
      </c>
      <c r="K333" s="2" t="str">
        <f t="shared" si="3"/>
        <v/>
      </c>
    </row>
    <row r="334">
      <c r="A334" s="2"/>
      <c r="B334" s="7"/>
      <c r="D334" s="5" t="str">
        <f>IF(A334 = "", "", COUNTIFS('Game Record'!G:G, A334, 'Game Record'!E:E, C334))</f>
        <v/>
      </c>
      <c r="E334" s="6" t="str">
        <f>IF(A334 = "", "", COUNTIFS('Game Record'!H:H, A334, 'Game Record'!E:E, C334))</f>
        <v/>
      </c>
      <c r="F334" s="2">
        <f t="shared" si="1"/>
        <v>0</v>
      </c>
      <c r="G334" s="1" t="str">
        <f>IF(A334 = "", "", COUNTIF('Game Record'!G:G, A334))</f>
        <v/>
      </c>
      <c r="H334" s="6" t="str">
        <f>IF(A334 = "", "", COUNTIF('Game Record'!H:H, A334))</f>
        <v/>
      </c>
      <c r="I334" s="2">
        <f>IFERROR(__xludf.DUMMYFUNCTION("SUM(FILTER(TeamARecordSet, INDEX(TeamARecordSet, 0, 1) = A334)) + SUM(FILTER(TeamBRecordSet, INDEX(TeamBRecordSet, 0, 1) = A334))"),0.0)</f>
        <v>0</v>
      </c>
      <c r="J334" s="2">
        <f t="shared" si="2"/>
        <v>0</v>
      </c>
      <c r="K334" s="2" t="str">
        <f t="shared" si="3"/>
        <v/>
      </c>
    </row>
    <row r="335">
      <c r="A335" s="2"/>
      <c r="B335" s="7"/>
      <c r="D335" s="5" t="str">
        <f>IF(A335 = "", "", COUNTIFS('Game Record'!G:G, A335, 'Game Record'!E:E, C335))</f>
        <v/>
      </c>
      <c r="E335" s="6" t="str">
        <f>IF(A335 = "", "", COUNTIFS('Game Record'!H:H, A335, 'Game Record'!E:E, C335))</f>
        <v/>
      </c>
      <c r="F335" s="2">
        <f t="shared" si="1"/>
        <v>0</v>
      </c>
      <c r="G335" s="1" t="str">
        <f>IF(A335 = "", "", COUNTIF('Game Record'!G:G, A335))</f>
        <v/>
      </c>
      <c r="H335" s="6" t="str">
        <f>IF(A335 = "", "", COUNTIF('Game Record'!H:H, A335))</f>
        <v/>
      </c>
      <c r="I335" s="2">
        <f>IFERROR(__xludf.DUMMYFUNCTION("SUM(FILTER(TeamARecordSet, INDEX(TeamARecordSet, 0, 1) = A335)) + SUM(FILTER(TeamBRecordSet, INDEX(TeamBRecordSet, 0, 1) = A335))"),0.0)</f>
        <v>0</v>
      </c>
      <c r="J335" s="2">
        <f t="shared" si="2"/>
        <v>0</v>
      </c>
      <c r="K335" s="2" t="str">
        <f t="shared" si="3"/>
        <v/>
      </c>
    </row>
    <row r="336">
      <c r="A336" s="2"/>
      <c r="B336" s="7"/>
      <c r="D336" s="5" t="str">
        <f>IF(A336 = "", "", COUNTIFS('Game Record'!G:G, A336, 'Game Record'!E:E, C336))</f>
        <v/>
      </c>
      <c r="E336" s="6" t="str">
        <f>IF(A336 = "", "", COUNTIFS('Game Record'!H:H, A336, 'Game Record'!E:E, C336))</f>
        <v/>
      </c>
      <c r="F336" s="2">
        <f t="shared" si="1"/>
        <v>0</v>
      </c>
      <c r="G336" s="1" t="str">
        <f>IF(A336 = "", "", COUNTIF('Game Record'!G:G, A336))</f>
        <v/>
      </c>
      <c r="H336" s="6" t="str">
        <f>IF(A336 = "", "", COUNTIF('Game Record'!H:H, A336))</f>
        <v/>
      </c>
      <c r="I336" s="2">
        <f>IFERROR(__xludf.DUMMYFUNCTION("SUM(FILTER(TeamARecordSet, INDEX(TeamARecordSet, 0, 1) = A336)) + SUM(FILTER(TeamBRecordSet, INDEX(TeamBRecordSet, 0, 1) = A336))"),0.0)</f>
        <v>0</v>
      </c>
      <c r="J336" s="2">
        <f t="shared" si="2"/>
        <v>0</v>
      </c>
      <c r="K336" s="2" t="str">
        <f t="shared" si="3"/>
        <v/>
      </c>
    </row>
    <row r="337">
      <c r="A337" s="2"/>
      <c r="B337" s="7"/>
      <c r="D337" s="5" t="str">
        <f>IF(A337 = "", "", COUNTIFS('Game Record'!G:G, A337, 'Game Record'!E:E, C337))</f>
        <v/>
      </c>
      <c r="E337" s="6" t="str">
        <f>IF(A337 = "", "", COUNTIFS('Game Record'!H:H, A337, 'Game Record'!E:E, C337))</f>
        <v/>
      </c>
      <c r="F337" s="2">
        <f t="shared" si="1"/>
        <v>0</v>
      </c>
      <c r="G337" s="1" t="str">
        <f>IF(A337 = "", "", COUNTIF('Game Record'!G:G, A337))</f>
        <v/>
      </c>
      <c r="H337" s="6" t="str">
        <f>IF(A337 = "", "", COUNTIF('Game Record'!H:H, A337))</f>
        <v/>
      </c>
      <c r="I337" s="2">
        <f>IFERROR(__xludf.DUMMYFUNCTION("SUM(FILTER(TeamARecordSet, INDEX(TeamARecordSet, 0, 1) = A337)) + SUM(FILTER(TeamBRecordSet, INDEX(TeamBRecordSet, 0, 1) = A337))"),0.0)</f>
        <v>0</v>
      </c>
      <c r="J337" s="2">
        <f t="shared" si="2"/>
        <v>0</v>
      </c>
      <c r="K337" s="2" t="str">
        <f t="shared" si="3"/>
        <v/>
      </c>
    </row>
    <row r="338">
      <c r="A338" s="2"/>
      <c r="B338" s="7"/>
      <c r="D338" s="5" t="str">
        <f>IF(A338 = "", "", COUNTIFS('Game Record'!G:G, A338, 'Game Record'!E:E, C338))</f>
        <v/>
      </c>
      <c r="E338" s="6" t="str">
        <f>IF(A338 = "", "", COUNTIFS('Game Record'!H:H, A338, 'Game Record'!E:E, C338))</f>
        <v/>
      </c>
      <c r="F338" s="2">
        <f t="shared" si="1"/>
        <v>0</v>
      </c>
      <c r="G338" s="1" t="str">
        <f>IF(A338 = "", "", COUNTIF('Game Record'!G:G, A338))</f>
        <v/>
      </c>
      <c r="H338" s="6" t="str">
        <f>IF(A338 = "", "", COUNTIF('Game Record'!H:H, A338))</f>
        <v/>
      </c>
      <c r="I338" s="2">
        <f>IFERROR(__xludf.DUMMYFUNCTION("SUM(FILTER(TeamARecordSet, INDEX(TeamARecordSet, 0, 1) = A338)) + SUM(FILTER(TeamBRecordSet, INDEX(TeamBRecordSet, 0, 1) = A338))"),0.0)</f>
        <v>0</v>
      </c>
      <c r="J338" s="2">
        <f t="shared" si="2"/>
        <v>0</v>
      </c>
      <c r="K338" s="2" t="str">
        <f t="shared" si="3"/>
        <v/>
      </c>
    </row>
    <row r="339">
      <c r="A339" s="2"/>
      <c r="B339" s="7"/>
      <c r="D339" s="5" t="str">
        <f>IF(A339 = "", "", COUNTIFS('Game Record'!G:G, A339, 'Game Record'!E:E, C339))</f>
        <v/>
      </c>
      <c r="E339" s="6" t="str">
        <f>IF(A339 = "", "", COUNTIFS('Game Record'!H:H, A339, 'Game Record'!E:E, C339))</f>
        <v/>
      </c>
      <c r="F339" s="2">
        <f t="shared" si="1"/>
        <v>0</v>
      </c>
      <c r="G339" s="1" t="str">
        <f>IF(A339 = "", "", COUNTIF('Game Record'!G:G, A339))</f>
        <v/>
      </c>
      <c r="H339" s="6" t="str">
        <f>IF(A339 = "", "", COUNTIF('Game Record'!H:H, A339))</f>
        <v/>
      </c>
      <c r="I339" s="2">
        <f>IFERROR(__xludf.DUMMYFUNCTION("SUM(FILTER(TeamARecordSet, INDEX(TeamARecordSet, 0, 1) = A339)) + SUM(FILTER(TeamBRecordSet, INDEX(TeamBRecordSet, 0, 1) = A339))"),0.0)</f>
        <v>0</v>
      </c>
      <c r="J339" s="2">
        <f t="shared" si="2"/>
        <v>0</v>
      </c>
      <c r="K339" s="2" t="str">
        <f t="shared" si="3"/>
        <v/>
      </c>
    </row>
    <row r="340">
      <c r="A340" s="2"/>
      <c r="B340" s="7"/>
      <c r="D340" s="5" t="str">
        <f>IF(A340 = "", "", COUNTIFS('Game Record'!G:G, A340, 'Game Record'!E:E, C340))</f>
        <v/>
      </c>
      <c r="E340" s="6" t="str">
        <f>IF(A340 = "", "", COUNTIFS('Game Record'!H:H, A340, 'Game Record'!E:E, C340))</f>
        <v/>
      </c>
      <c r="F340" s="2">
        <f t="shared" si="1"/>
        <v>0</v>
      </c>
      <c r="G340" s="1" t="str">
        <f>IF(A340 = "", "", COUNTIF('Game Record'!G:G, A340))</f>
        <v/>
      </c>
      <c r="H340" s="6" t="str">
        <f>IF(A340 = "", "", COUNTIF('Game Record'!H:H, A340))</f>
        <v/>
      </c>
      <c r="I340" s="2">
        <f>IFERROR(__xludf.DUMMYFUNCTION("SUM(FILTER(TeamARecordSet, INDEX(TeamARecordSet, 0, 1) = A340)) + SUM(FILTER(TeamBRecordSet, INDEX(TeamBRecordSet, 0, 1) = A340))"),0.0)</f>
        <v>0</v>
      </c>
      <c r="J340" s="2">
        <f t="shared" si="2"/>
        <v>0</v>
      </c>
      <c r="K340" s="2" t="str">
        <f t="shared" si="3"/>
        <v/>
      </c>
    </row>
    <row r="341">
      <c r="A341" s="2"/>
      <c r="B341" s="7"/>
      <c r="D341" s="5" t="str">
        <f>IF(A341 = "", "", COUNTIFS('Game Record'!G:G, A341, 'Game Record'!E:E, C341))</f>
        <v/>
      </c>
      <c r="E341" s="6" t="str">
        <f>IF(A341 = "", "", COUNTIFS('Game Record'!H:H, A341, 'Game Record'!E:E, C341))</f>
        <v/>
      </c>
      <c r="F341" s="2">
        <f t="shared" si="1"/>
        <v>0</v>
      </c>
      <c r="G341" s="1" t="str">
        <f>IF(A341 = "", "", COUNTIF('Game Record'!G:G, A341))</f>
        <v/>
      </c>
      <c r="H341" s="6" t="str">
        <f>IF(A341 = "", "", COUNTIF('Game Record'!H:H, A341))</f>
        <v/>
      </c>
      <c r="I341" s="2">
        <f>IFERROR(__xludf.DUMMYFUNCTION("SUM(FILTER(TeamARecordSet, INDEX(TeamARecordSet, 0, 1) = A341)) + SUM(FILTER(TeamBRecordSet, INDEX(TeamBRecordSet, 0, 1) = A341))"),0.0)</f>
        <v>0</v>
      </c>
      <c r="J341" s="2">
        <f t="shared" si="2"/>
        <v>0</v>
      </c>
      <c r="K341" s="2" t="str">
        <f t="shared" si="3"/>
        <v/>
      </c>
    </row>
    <row r="342">
      <c r="A342" s="2"/>
      <c r="B342" s="7"/>
      <c r="D342" s="5" t="str">
        <f>IF(A342 = "", "", COUNTIFS('Game Record'!G:G, A342, 'Game Record'!E:E, C342))</f>
        <v/>
      </c>
      <c r="E342" s="6" t="str">
        <f>IF(A342 = "", "", COUNTIFS('Game Record'!H:H, A342, 'Game Record'!E:E, C342))</f>
        <v/>
      </c>
      <c r="F342" s="2">
        <f t="shared" si="1"/>
        <v>0</v>
      </c>
      <c r="G342" s="1" t="str">
        <f>IF(A342 = "", "", COUNTIF('Game Record'!G:G, A342))</f>
        <v/>
      </c>
      <c r="H342" s="6" t="str">
        <f>IF(A342 = "", "", COUNTIF('Game Record'!H:H, A342))</f>
        <v/>
      </c>
      <c r="I342" s="2">
        <f>IFERROR(__xludf.DUMMYFUNCTION("SUM(FILTER(TeamARecordSet, INDEX(TeamARecordSet, 0, 1) = A342)) + SUM(FILTER(TeamBRecordSet, INDEX(TeamBRecordSet, 0, 1) = A342))"),0.0)</f>
        <v>0</v>
      </c>
      <c r="J342" s="2">
        <f t="shared" si="2"/>
        <v>0</v>
      </c>
      <c r="K342" s="2" t="str">
        <f t="shared" si="3"/>
        <v/>
      </c>
    </row>
    <row r="343">
      <c r="A343" s="2"/>
      <c r="B343" s="7"/>
      <c r="D343" s="5" t="str">
        <f>IF(A343 = "", "", COUNTIFS('Game Record'!G:G, A343, 'Game Record'!E:E, C343))</f>
        <v/>
      </c>
      <c r="E343" s="6" t="str">
        <f>IF(A343 = "", "", COUNTIFS('Game Record'!H:H, A343, 'Game Record'!E:E, C343))</f>
        <v/>
      </c>
      <c r="F343" s="2">
        <f t="shared" si="1"/>
        <v>0</v>
      </c>
      <c r="G343" s="1" t="str">
        <f>IF(A343 = "", "", COUNTIF('Game Record'!G:G, A343))</f>
        <v/>
      </c>
      <c r="H343" s="6" t="str">
        <f>IF(A343 = "", "", COUNTIF('Game Record'!H:H, A343))</f>
        <v/>
      </c>
      <c r="I343" s="2">
        <f>IFERROR(__xludf.DUMMYFUNCTION("SUM(FILTER(TeamARecordSet, INDEX(TeamARecordSet, 0, 1) = A343)) + SUM(FILTER(TeamBRecordSet, INDEX(TeamBRecordSet, 0, 1) = A343))"),0.0)</f>
        <v>0</v>
      </c>
      <c r="J343" s="2">
        <f t="shared" si="2"/>
        <v>0</v>
      </c>
      <c r="K343" s="2" t="str">
        <f t="shared" si="3"/>
        <v/>
      </c>
    </row>
    <row r="344">
      <c r="A344" s="2"/>
      <c r="B344" s="7"/>
      <c r="D344" s="5" t="str">
        <f>IF(A344 = "", "", COUNTIFS('Game Record'!G:G, A344, 'Game Record'!E:E, C344))</f>
        <v/>
      </c>
      <c r="E344" s="6" t="str">
        <f>IF(A344 = "", "", COUNTIFS('Game Record'!H:H, A344, 'Game Record'!E:E, C344))</f>
        <v/>
      </c>
      <c r="F344" s="2">
        <f t="shared" si="1"/>
        <v>0</v>
      </c>
      <c r="G344" s="1" t="str">
        <f>IF(A344 = "", "", COUNTIF('Game Record'!G:G, A344))</f>
        <v/>
      </c>
      <c r="H344" s="6" t="str">
        <f>IF(A344 = "", "", COUNTIF('Game Record'!H:H, A344))</f>
        <v/>
      </c>
      <c r="I344" s="2">
        <f>IFERROR(__xludf.DUMMYFUNCTION("SUM(FILTER(TeamARecordSet, INDEX(TeamARecordSet, 0, 1) = A344)) + SUM(FILTER(TeamBRecordSet, INDEX(TeamBRecordSet, 0, 1) = A344))"),0.0)</f>
        <v>0</v>
      </c>
      <c r="J344" s="2">
        <f t="shared" si="2"/>
        <v>0</v>
      </c>
      <c r="K344" s="2" t="str">
        <f t="shared" si="3"/>
        <v/>
      </c>
    </row>
    <row r="345">
      <c r="A345" s="2"/>
      <c r="B345" s="7"/>
      <c r="D345" s="5" t="str">
        <f>IF(A345 = "", "", COUNTIFS('Game Record'!G:G, A345, 'Game Record'!E:E, C345))</f>
        <v/>
      </c>
      <c r="E345" s="6" t="str">
        <f>IF(A345 = "", "", COUNTIFS('Game Record'!H:H, A345, 'Game Record'!E:E, C345))</f>
        <v/>
      </c>
      <c r="F345" s="2">
        <f t="shared" si="1"/>
        <v>0</v>
      </c>
      <c r="G345" s="1" t="str">
        <f>IF(A345 = "", "", COUNTIF('Game Record'!G:G, A345))</f>
        <v/>
      </c>
      <c r="H345" s="6" t="str">
        <f>IF(A345 = "", "", COUNTIF('Game Record'!H:H, A345))</f>
        <v/>
      </c>
      <c r="I345" s="2">
        <f>IFERROR(__xludf.DUMMYFUNCTION("SUM(FILTER(TeamARecordSet, INDEX(TeamARecordSet, 0, 1) = A345)) + SUM(FILTER(TeamBRecordSet, INDEX(TeamBRecordSet, 0, 1) = A345))"),0.0)</f>
        <v>0</v>
      </c>
      <c r="J345" s="2">
        <f t="shared" si="2"/>
        <v>0</v>
      </c>
      <c r="K345" s="2" t="str">
        <f t="shared" si="3"/>
        <v/>
      </c>
    </row>
    <row r="346">
      <c r="A346" s="2"/>
      <c r="B346" s="7"/>
      <c r="D346" s="5" t="str">
        <f>IF(A346 = "", "", COUNTIFS('Game Record'!G:G, A346, 'Game Record'!E:E, C346))</f>
        <v/>
      </c>
      <c r="E346" s="6" t="str">
        <f>IF(A346 = "", "", COUNTIFS('Game Record'!H:H, A346, 'Game Record'!E:E, C346))</f>
        <v/>
      </c>
      <c r="F346" s="2">
        <f t="shared" si="1"/>
        <v>0</v>
      </c>
      <c r="G346" s="1" t="str">
        <f>IF(A346 = "", "", COUNTIF('Game Record'!G:G, A346))</f>
        <v/>
      </c>
      <c r="H346" s="6" t="str">
        <f>IF(A346 = "", "", COUNTIF('Game Record'!H:H, A346))</f>
        <v/>
      </c>
      <c r="I346" s="2">
        <f>IFERROR(__xludf.DUMMYFUNCTION("SUM(FILTER(TeamARecordSet, INDEX(TeamARecordSet, 0, 1) = A346)) + SUM(FILTER(TeamBRecordSet, INDEX(TeamBRecordSet, 0, 1) = A346))"),0.0)</f>
        <v>0</v>
      </c>
      <c r="J346" s="2">
        <f t="shared" si="2"/>
        <v>0</v>
      </c>
      <c r="K346" s="2" t="str">
        <f t="shared" si="3"/>
        <v/>
      </c>
    </row>
    <row r="347">
      <c r="A347" s="2"/>
      <c r="B347" s="7"/>
      <c r="D347" s="5" t="str">
        <f>IF(A347 = "", "", COUNTIFS('Game Record'!G:G, A347, 'Game Record'!E:E, C347))</f>
        <v/>
      </c>
      <c r="E347" s="6" t="str">
        <f>IF(A347 = "", "", COUNTIFS('Game Record'!H:H, A347, 'Game Record'!E:E, C347))</f>
        <v/>
      </c>
      <c r="F347" s="2">
        <f t="shared" si="1"/>
        <v>0</v>
      </c>
      <c r="G347" s="1" t="str">
        <f>IF(A347 = "", "", COUNTIF('Game Record'!G:G, A347))</f>
        <v/>
      </c>
      <c r="H347" s="6" t="str">
        <f>IF(A347 = "", "", COUNTIF('Game Record'!H:H, A347))</f>
        <v/>
      </c>
      <c r="I347" s="2">
        <f>IFERROR(__xludf.DUMMYFUNCTION("SUM(FILTER(TeamARecordSet, INDEX(TeamARecordSet, 0, 1) = A347)) + SUM(FILTER(TeamBRecordSet, INDEX(TeamBRecordSet, 0, 1) = A347))"),0.0)</f>
        <v>0</v>
      </c>
      <c r="J347" s="2">
        <f t="shared" si="2"/>
        <v>0</v>
      </c>
      <c r="K347" s="2" t="str">
        <f t="shared" si="3"/>
        <v/>
      </c>
    </row>
    <row r="348">
      <c r="A348" s="2"/>
      <c r="B348" s="7"/>
      <c r="D348" s="5" t="str">
        <f>IF(A348 = "", "", COUNTIFS('Game Record'!G:G, A348, 'Game Record'!E:E, C348))</f>
        <v/>
      </c>
      <c r="E348" s="6" t="str">
        <f>IF(A348 = "", "", COUNTIFS('Game Record'!H:H, A348, 'Game Record'!E:E, C348))</f>
        <v/>
      </c>
      <c r="F348" s="2">
        <f t="shared" si="1"/>
        <v>0</v>
      </c>
      <c r="G348" s="1" t="str">
        <f>IF(A348 = "", "", COUNTIF('Game Record'!G:G, A348))</f>
        <v/>
      </c>
      <c r="H348" s="6" t="str">
        <f>IF(A348 = "", "", COUNTIF('Game Record'!H:H, A348))</f>
        <v/>
      </c>
      <c r="I348" s="2">
        <f>IFERROR(__xludf.DUMMYFUNCTION("SUM(FILTER(TeamARecordSet, INDEX(TeamARecordSet, 0, 1) = A348)) + SUM(FILTER(TeamBRecordSet, INDEX(TeamBRecordSet, 0, 1) = A348))"),0.0)</f>
        <v>0</v>
      </c>
      <c r="J348" s="2">
        <f t="shared" si="2"/>
        <v>0</v>
      </c>
      <c r="K348" s="2" t="str">
        <f t="shared" si="3"/>
        <v/>
      </c>
    </row>
    <row r="349">
      <c r="A349" s="2"/>
      <c r="B349" s="7"/>
      <c r="D349" s="5" t="str">
        <f>IF(A349 = "", "", COUNTIFS('Game Record'!G:G, A349, 'Game Record'!E:E, C349))</f>
        <v/>
      </c>
      <c r="E349" s="6" t="str">
        <f>IF(A349 = "", "", COUNTIFS('Game Record'!H:H, A349, 'Game Record'!E:E, C349))</f>
        <v/>
      </c>
      <c r="F349" s="2">
        <f t="shared" si="1"/>
        <v>0</v>
      </c>
      <c r="G349" s="1" t="str">
        <f>IF(A349 = "", "", COUNTIF('Game Record'!G:G, A349))</f>
        <v/>
      </c>
      <c r="H349" s="6" t="str">
        <f>IF(A349 = "", "", COUNTIF('Game Record'!H:H, A349))</f>
        <v/>
      </c>
      <c r="I349" s="2">
        <f>IFERROR(__xludf.DUMMYFUNCTION("SUM(FILTER(TeamARecordSet, INDEX(TeamARecordSet, 0, 1) = A349)) + SUM(FILTER(TeamBRecordSet, INDEX(TeamBRecordSet, 0, 1) = A349))"),0.0)</f>
        <v>0</v>
      </c>
      <c r="J349" s="2">
        <f t="shared" si="2"/>
        <v>0</v>
      </c>
      <c r="K349" s="2" t="str">
        <f t="shared" si="3"/>
        <v/>
      </c>
    </row>
    <row r="350">
      <c r="A350" s="2"/>
      <c r="B350" s="7"/>
      <c r="D350" s="5" t="str">
        <f>IF(A350 = "", "", COUNTIFS('Game Record'!G:G, A350, 'Game Record'!E:E, C350))</f>
        <v/>
      </c>
      <c r="E350" s="6" t="str">
        <f>IF(A350 = "", "", COUNTIFS('Game Record'!H:H, A350, 'Game Record'!E:E, C350))</f>
        <v/>
      </c>
      <c r="F350" s="2">
        <f t="shared" si="1"/>
        <v>0</v>
      </c>
      <c r="G350" s="1" t="str">
        <f>IF(A350 = "", "", COUNTIF('Game Record'!G:G, A350))</f>
        <v/>
      </c>
      <c r="H350" s="6" t="str">
        <f>IF(A350 = "", "", COUNTIF('Game Record'!H:H, A350))</f>
        <v/>
      </c>
      <c r="I350" s="2">
        <f>IFERROR(__xludf.DUMMYFUNCTION("SUM(FILTER(TeamARecordSet, INDEX(TeamARecordSet, 0, 1) = A350)) + SUM(FILTER(TeamBRecordSet, INDEX(TeamBRecordSet, 0, 1) = A350))"),0.0)</f>
        <v>0</v>
      </c>
      <c r="J350" s="2">
        <f t="shared" si="2"/>
        <v>0</v>
      </c>
      <c r="K350" s="2" t="str">
        <f t="shared" si="3"/>
        <v/>
      </c>
    </row>
    <row r="351">
      <c r="A351" s="2"/>
      <c r="B351" s="7"/>
      <c r="D351" s="5" t="str">
        <f>IF(A351 = "", "", COUNTIFS('Game Record'!G:G, A351, 'Game Record'!E:E, C351))</f>
        <v/>
      </c>
      <c r="E351" s="6" t="str">
        <f>IF(A351 = "", "", COUNTIFS('Game Record'!H:H, A351, 'Game Record'!E:E, C351))</f>
        <v/>
      </c>
      <c r="F351" s="2">
        <f t="shared" si="1"/>
        <v>0</v>
      </c>
      <c r="G351" s="1" t="str">
        <f>IF(A351 = "", "", COUNTIF('Game Record'!G:G, A351))</f>
        <v/>
      </c>
      <c r="H351" s="6" t="str">
        <f>IF(A351 = "", "", COUNTIF('Game Record'!H:H, A351))</f>
        <v/>
      </c>
      <c r="I351" s="2">
        <f>IFERROR(__xludf.DUMMYFUNCTION("SUM(FILTER(TeamARecordSet, INDEX(TeamARecordSet, 0, 1) = A351)) + SUM(FILTER(TeamBRecordSet, INDEX(TeamBRecordSet, 0, 1) = A351))"),0.0)</f>
        <v>0</v>
      </c>
      <c r="J351" s="2">
        <f t="shared" si="2"/>
        <v>0</v>
      </c>
      <c r="K351" s="2" t="str">
        <f t="shared" si="3"/>
        <v/>
      </c>
    </row>
    <row r="352">
      <c r="A352" s="2"/>
      <c r="B352" s="7"/>
      <c r="D352" s="5" t="str">
        <f>IF(A352 = "", "", COUNTIFS('Game Record'!G:G, A352, 'Game Record'!E:E, C352))</f>
        <v/>
      </c>
      <c r="E352" s="6" t="str">
        <f>IF(A352 = "", "", COUNTIFS('Game Record'!H:H, A352, 'Game Record'!E:E, C352))</f>
        <v/>
      </c>
      <c r="F352" s="2">
        <f t="shared" si="1"/>
        <v>0</v>
      </c>
      <c r="G352" s="1" t="str">
        <f>IF(A352 = "", "", COUNTIF('Game Record'!G:G, A352))</f>
        <v/>
      </c>
      <c r="H352" s="6" t="str">
        <f>IF(A352 = "", "", COUNTIF('Game Record'!H:H, A352))</f>
        <v/>
      </c>
      <c r="I352" s="2">
        <f>IFERROR(__xludf.DUMMYFUNCTION("SUM(FILTER(TeamARecordSet, INDEX(TeamARecordSet, 0, 1) = A352)) + SUM(FILTER(TeamBRecordSet, INDEX(TeamBRecordSet, 0, 1) = A352))"),0.0)</f>
        <v>0</v>
      </c>
      <c r="J352" s="2">
        <f t="shared" si="2"/>
        <v>0</v>
      </c>
      <c r="K352" s="2" t="str">
        <f t="shared" si="3"/>
        <v/>
      </c>
    </row>
    <row r="353">
      <c r="A353" s="2"/>
      <c r="B353" s="7"/>
      <c r="D353" s="5" t="str">
        <f>IF(A353 = "", "", COUNTIFS('Game Record'!G:G, A353, 'Game Record'!E:E, C353))</f>
        <v/>
      </c>
      <c r="E353" s="6" t="str">
        <f>IF(A353 = "", "", COUNTIFS('Game Record'!H:H, A353, 'Game Record'!E:E, C353))</f>
        <v/>
      </c>
      <c r="F353" s="2">
        <f t="shared" si="1"/>
        <v>0</v>
      </c>
      <c r="G353" s="1" t="str">
        <f>IF(A353 = "", "", COUNTIF('Game Record'!G:G, A353))</f>
        <v/>
      </c>
      <c r="H353" s="6" t="str">
        <f>IF(A353 = "", "", COUNTIF('Game Record'!H:H, A353))</f>
        <v/>
      </c>
      <c r="I353" s="2">
        <f>IFERROR(__xludf.DUMMYFUNCTION("SUM(FILTER(TeamARecordSet, INDEX(TeamARecordSet, 0, 1) = A353)) + SUM(FILTER(TeamBRecordSet, INDEX(TeamBRecordSet, 0, 1) = A353))"),0.0)</f>
        <v>0</v>
      </c>
      <c r="J353" s="2">
        <f t="shared" si="2"/>
        <v>0</v>
      </c>
      <c r="K353" s="2" t="str">
        <f t="shared" si="3"/>
        <v/>
      </c>
    </row>
    <row r="354">
      <c r="A354" s="2"/>
      <c r="B354" s="7"/>
      <c r="D354" s="5" t="str">
        <f>IF(A354 = "", "", COUNTIFS('Game Record'!G:G, A354, 'Game Record'!E:E, C354))</f>
        <v/>
      </c>
      <c r="E354" s="6" t="str">
        <f>IF(A354 = "", "", COUNTIFS('Game Record'!H:H, A354, 'Game Record'!E:E, C354))</f>
        <v/>
      </c>
      <c r="F354" s="2">
        <f t="shared" si="1"/>
        <v>0</v>
      </c>
      <c r="G354" s="1" t="str">
        <f>IF(A354 = "", "", COUNTIF('Game Record'!G:G, A354))</f>
        <v/>
      </c>
      <c r="H354" s="6" t="str">
        <f>IF(A354 = "", "", COUNTIF('Game Record'!H:H, A354))</f>
        <v/>
      </c>
      <c r="I354" s="2">
        <f>IFERROR(__xludf.DUMMYFUNCTION("SUM(FILTER(TeamARecordSet, INDEX(TeamARecordSet, 0, 1) = A354)) + SUM(FILTER(TeamBRecordSet, INDEX(TeamBRecordSet, 0, 1) = A354))"),0.0)</f>
        <v>0</v>
      </c>
      <c r="J354" s="2">
        <f t="shared" si="2"/>
        <v>0</v>
      </c>
      <c r="K354" s="2" t="str">
        <f t="shared" si="3"/>
        <v/>
      </c>
    </row>
    <row r="355">
      <c r="A355" s="2"/>
      <c r="B355" s="7"/>
      <c r="D355" s="5" t="str">
        <f>IF(A355 = "", "", COUNTIFS('Game Record'!G:G, A355, 'Game Record'!E:E, C355))</f>
        <v/>
      </c>
      <c r="E355" s="6" t="str">
        <f>IF(A355 = "", "", COUNTIFS('Game Record'!H:H, A355, 'Game Record'!E:E, C355))</f>
        <v/>
      </c>
      <c r="F355" s="2">
        <f t="shared" si="1"/>
        <v>0</v>
      </c>
      <c r="G355" s="1" t="str">
        <f>IF(A355 = "", "", COUNTIF('Game Record'!G:G, A355))</f>
        <v/>
      </c>
      <c r="H355" s="6" t="str">
        <f>IF(A355 = "", "", COUNTIF('Game Record'!H:H, A355))</f>
        <v/>
      </c>
      <c r="I355" s="2">
        <f>IFERROR(__xludf.DUMMYFUNCTION("SUM(FILTER(TeamARecordSet, INDEX(TeamARecordSet, 0, 1) = A355)) + SUM(FILTER(TeamBRecordSet, INDEX(TeamBRecordSet, 0, 1) = A355))"),0.0)</f>
        <v>0</v>
      </c>
      <c r="J355" s="2">
        <f t="shared" si="2"/>
        <v>0</v>
      </c>
      <c r="K355" s="2" t="str">
        <f t="shared" si="3"/>
        <v/>
      </c>
    </row>
    <row r="356">
      <c r="A356" s="2"/>
      <c r="B356" s="7"/>
      <c r="D356" s="5" t="str">
        <f>IF(A356 = "", "", COUNTIFS('Game Record'!G:G, A356, 'Game Record'!E:E, C356))</f>
        <v/>
      </c>
      <c r="E356" s="6" t="str">
        <f>IF(A356 = "", "", COUNTIFS('Game Record'!H:H, A356, 'Game Record'!E:E, C356))</f>
        <v/>
      </c>
      <c r="F356" s="2">
        <f t="shared" si="1"/>
        <v>0</v>
      </c>
      <c r="G356" s="1" t="str">
        <f>IF(A356 = "", "", COUNTIF('Game Record'!G:G, A356))</f>
        <v/>
      </c>
      <c r="H356" s="6" t="str">
        <f>IF(A356 = "", "", COUNTIF('Game Record'!H:H, A356))</f>
        <v/>
      </c>
      <c r="I356" s="2">
        <f>IFERROR(__xludf.DUMMYFUNCTION("SUM(FILTER(TeamARecordSet, INDEX(TeamARecordSet, 0, 1) = A356)) + SUM(FILTER(TeamBRecordSet, INDEX(TeamBRecordSet, 0, 1) = A356))"),0.0)</f>
        <v>0</v>
      </c>
      <c r="J356" s="2">
        <f t="shared" si="2"/>
        <v>0</v>
      </c>
      <c r="K356" s="2" t="str">
        <f t="shared" si="3"/>
        <v/>
      </c>
    </row>
    <row r="357">
      <c r="A357" s="2"/>
      <c r="B357" s="7"/>
      <c r="D357" s="5" t="str">
        <f>IF(A357 = "", "", COUNTIFS('Game Record'!G:G, A357, 'Game Record'!E:E, C357))</f>
        <v/>
      </c>
      <c r="E357" s="6" t="str">
        <f>IF(A357 = "", "", COUNTIFS('Game Record'!H:H, A357, 'Game Record'!E:E, C357))</f>
        <v/>
      </c>
      <c r="F357" s="2">
        <f t="shared" si="1"/>
        <v>0</v>
      </c>
      <c r="G357" s="1" t="str">
        <f>IF(A357 = "", "", COUNTIF('Game Record'!G:G, A357))</f>
        <v/>
      </c>
      <c r="H357" s="6" t="str">
        <f>IF(A357 = "", "", COUNTIF('Game Record'!H:H, A357))</f>
        <v/>
      </c>
      <c r="I357" s="2">
        <f>IFERROR(__xludf.DUMMYFUNCTION("SUM(FILTER(TeamARecordSet, INDEX(TeamARecordSet, 0, 1) = A357)) + SUM(FILTER(TeamBRecordSet, INDEX(TeamBRecordSet, 0, 1) = A357))"),0.0)</f>
        <v>0</v>
      </c>
      <c r="J357" s="2">
        <f t="shared" si="2"/>
        <v>0</v>
      </c>
      <c r="K357" s="2" t="str">
        <f t="shared" si="3"/>
        <v/>
      </c>
    </row>
    <row r="358">
      <c r="A358" s="2"/>
      <c r="B358" s="7"/>
      <c r="D358" s="5" t="str">
        <f>IF(A358 = "", "", COUNTIFS('Game Record'!G:G, A358, 'Game Record'!E:E, C358))</f>
        <v/>
      </c>
      <c r="E358" s="6" t="str">
        <f>IF(A358 = "", "", COUNTIFS('Game Record'!H:H, A358, 'Game Record'!E:E, C358))</f>
        <v/>
      </c>
      <c r="F358" s="2">
        <f t="shared" si="1"/>
        <v>0</v>
      </c>
      <c r="G358" s="1" t="str">
        <f>IF(A358 = "", "", COUNTIF('Game Record'!G:G, A358))</f>
        <v/>
      </c>
      <c r="H358" s="6" t="str">
        <f>IF(A358 = "", "", COUNTIF('Game Record'!H:H, A358))</f>
        <v/>
      </c>
      <c r="I358" s="2">
        <f>IFERROR(__xludf.DUMMYFUNCTION("SUM(FILTER(TeamARecordSet, INDEX(TeamARecordSet, 0, 1) = A358)) + SUM(FILTER(TeamBRecordSet, INDEX(TeamBRecordSet, 0, 1) = A358))"),0.0)</f>
        <v>0</v>
      </c>
      <c r="J358" s="2">
        <f t="shared" si="2"/>
        <v>0</v>
      </c>
      <c r="K358" s="2" t="str">
        <f t="shared" si="3"/>
        <v/>
      </c>
    </row>
    <row r="359">
      <c r="A359" s="2"/>
      <c r="B359" s="7"/>
      <c r="D359" s="5" t="str">
        <f>IF(A359 = "", "", COUNTIFS('Game Record'!G:G, A359, 'Game Record'!E:E, C359))</f>
        <v/>
      </c>
      <c r="E359" s="6" t="str">
        <f>IF(A359 = "", "", COUNTIFS('Game Record'!H:H, A359, 'Game Record'!E:E, C359))</f>
        <v/>
      </c>
      <c r="F359" s="2">
        <f t="shared" si="1"/>
        <v>0</v>
      </c>
      <c r="G359" s="1" t="str">
        <f>IF(A359 = "", "", COUNTIF('Game Record'!G:G, A359))</f>
        <v/>
      </c>
      <c r="H359" s="6" t="str">
        <f>IF(A359 = "", "", COUNTIF('Game Record'!H:H, A359))</f>
        <v/>
      </c>
      <c r="I359" s="2">
        <f>IFERROR(__xludf.DUMMYFUNCTION("SUM(FILTER(TeamARecordSet, INDEX(TeamARecordSet, 0, 1) = A359)) + SUM(FILTER(TeamBRecordSet, INDEX(TeamBRecordSet, 0, 1) = A359))"),0.0)</f>
        <v>0</v>
      </c>
      <c r="J359" s="2">
        <f t="shared" si="2"/>
        <v>0</v>
      </c>
      <c r="K359" s="2" t="str">
        <f t="shared" si="3"/>
        <v/>
      </c>
    </row>
    <row r="360">
      <c r="A360" s="2"/>
      <c r="B360" s="7"/>
      <c r="D360" s="5" t="str">
        <f>IF(A360 = "", "", COUNTIFS('Game Record'!G:G, A360, 'Game Record'!E:E, C360))</f>
        <v/>
      </c>
      <c r="E360" s="6" t="str">
        <f>IF(A360 = "", "", COUNTIFS('Game Record'!H:H, A360, 'Game Record'!E:E, C360))</f>
        <v/>
      </c>
      <c r="F360" s="2">
        <f t="shared" si="1"/>
        <v>0</v>
      </c>
      <c r="G360" s="1" t="str">
        <f>IF(A360 = "", "", COUNTIF('Game Record'!G:G, A360))</f>
        <v/>
      </c>
      <c r="H360" s="6" t="str">
        <f>IF(A360 = "", "", COUNTIF('Game Record'!H:H, A360))</f>
        <v/>
      </c>
      <c r="I360" s="2">
        <f>IFERROR(__xludf.DUMMYFUNCTION("SUM(FILTER(TeamARecordSet, INDEX(TeamARecordSet, 0, 1) = A360)) + SUM(FILTER(TeamBRecordSet, INDEX(TeamBRecordSet, 0, 1) = A360))"),0.0)</f>
        <v>0</v>
      </c>
      <c r="J360" s="2">
        <f t="shared" si="2"/>
        <v>0</v>
      </c>
      <c r="K360" s="2" t="str">
        <f t="shared" si="3"/>
        <v/>
      </c>
    </row>
    <row r="361">
      <c r="A361" s="2"/>
      <c r="B361" s="7"/>
      <c r="D361" s="5" t="str">
        <f>IF(A361 = "", "", COUNTIFS('Game Record'!G:G, A361, 'Game Record'!E:E, C361))</f>
        <v/>
      </c>
      <c r="E361" s="6" t="str">
        <f>IF(A361 = "", "", COUNTIFS('Game Record'!H:H, A361, 'Game Record'!E:E, C361))</f>
        <v/>
      </c>
      <c r="F361" s="2">
        <f t="shared" si="1"/>
        <v>0</v>
      </c>
      <c r="G361" s="1" t="str">
        <f>IF(A361 = "", "", COUNTIF('Game Record'!G:G, A361))</f>
        <v/>
      </c>
      <c r="H361" s="6" t="str">
        <f>IF(A361 = "", "", COUNTIF('Game Record'!H:H, A361))</f>
        <v/>
      </c>
      <c r="I361" s="2">
        <f>IFERROR(__xludf.DUMMYFUNCTION("SUM(FILTER(TeamARecordSet, INDEX(TeamARecordSet, 0, 1) = A361)) + SUM(FILTER(TeamBRecordSet, INDEX(TeamBRecordSet, 0, 1) = A361))"),0.0)</f>
        <v>0</v>
      </c>
      <c r="J361" s="2">
        <f t="shared" si="2"/>
        <v>0</v>
      </c>
      <c r="K361" s="2" t="str">
        <f t="shared" si="3"/>
        <v/>
      </c>
    </row>
    <row r="362">
      <c r="A362" s="2"/>
      <c r="B362" s="7"/>
      <c r="D362" s="5" t="str">
        <f>IF(A362 = "", "", COUNTIFS('Game Record'!G:G, A362, 'Game Record'!E:E, C362))</f>
        <v/>
      </c>
      <c r="E362" s="6" t="str">
        <f>IF(A362 = "", "", COUNTIFS('Game Record'!H:H, A362, 'Game Record'!E:E, C362))</f>
        <v/>
      </c>
      <c r="F362" s="2">
        <f t="shared" si="1"/>
        <v>0</v>
      </c>
      <c r="G362" s="1" t="str">
        <f>IF(A362 = "", "", COUNTIF('Game Record'!G:G, A362))</f>
        <v/>
      </c>
      <c r="H362" s="6" t="str">
        <f>IF(A362 = "", "", COUNTIF('Game Record'!H:H, A362))</f>
        <v/>
      </c>
      <c r="I362" s="2">
        <f>IFERROR(__xludf.DUMMYFUNCTION("SUM(FILTER(TeamARecordSet, INDEX(TeamARecordSet, 0, 1) = A362)) + SUM(FILTER(TeamBRecordSet, INDEX(TeamBRecordSet, 0, 1) = A362))"),0.0)</f>
        <v>0</v>
      </c>
      <c r="J362" s="2">
        <f t="shared" si="2"/>
        <v>0</v>
      </c>
      <c r="K362" s="2" t="str">
        <f t="shared" si="3"/>
        <v/>
      </c>
    </row>
    <row r="363">
      <c r="A363" s="2"/>
      <c r="B363" s="7"/>
      <c r="D363" s="5" t="str">
        <f>IF(A363 = "", "", COUNTIFS('Game Record'!G:G, A363, 'Game Record'!E:E, C363))</f>
        <v/>
      </c>
      <c r="E363" s="6" t="str">
        <f>IF(A363 = "", "", COUNTIFS('Game Record'!H:H, A363, 'Game Record'!E:E, C363))</f>
        <v/>
      </c>
      <c r="F363" s="2">
        <f t="shared" si="1"/>
        <v>0</v>
      </c>
      <c r="G363" s="1" t="str">
        <f>IF(A363 = "", "", COUNTIF('Game Record'!G:G, A363))</f>
        <v/>
      </c>
      <c r="H363" s="6" t="str">
        <f>IF(A363 = "", "", COUNTIF('Game Record'!H:H, A363))</f>
        <v/>
      </c>
      <c r="I363" s="2">
        <f>IFERROR(__xludf.DUMMYFUNCTION("SUM(FILTER(TeamARecordSet, INDEX(TeamARecordSet, 0, 1) = A363)) + SUM(FILTER(TeamBRecordSet, INDEX(TeamBRecordSet, 0, 1) = A363))"),0.0)</f>
        <v>0</v>
      </c>
      <c r="J363" s="2">
        <f t="shared" si="2"/>
        <v>0</v>
      </c>
      <c r="K363" s="2" t="str">
        <f t="shared" si="3"/>
        <v/>
      </c>
    </row>
    <row r="364">
      <c r="A364" s="2"/>
      <c r="B364" s="7"/>
      <c r="D364" s="5" t="str">
        <f>IF(A364 = "", "", COUNTIFS('Game Record'!G:G, A364, 'Game Record'!E:E, C364))</f>
        <v/>
      </c>
      <c r="E364" s="6" t="str">
        <f>IF(A364 = "", "", COUNTIFS('Game Record'!H:H, A364, 'Game Record'!E:E, C364))</f>
        <v/>
      </c>
      <c r="F364" s="2">
        <f t="shared" si="1"/>
        <v>0</v>
      </c>
      <c r="G364" s="1" t="str">
        <f>IF(A364 = "", "", COUNTIF('Game Record'!G:G, A364))</f>
        <v/>
      </c>
      <c r="H364" s="6" t="str">
        <f>IF(A364 = "", "", COUNTIF('Game Record'!H:H, A364))</f>
        <v/>
      </c>
      <c r="I364" s="2">
        <f>IFERROR(__xludf.DUMMYFUNCTION("SUM(FILTER(TeamARecordSet, INDEX(TeamARecordSet, 0, 1) = A364)) + SUM(FILTER(TeamBRecordSet, INDEX(TeamBRecordSet, 0, 1) = A364))"),0.0)</f>
        <v>0</v>
      </c>
      <c r="J364" s="2">
        <f t="shared" si="2"/>
        <v>0</v>
      </c>
      <c r="K364" s="2" t="str">
        <f t="shared" si="3"/>
        <v/>
      </c>
    </row>
    <row r="365">
      <c r="A365" s="2"/>
      <c r="B365" s="7"/>
      <c r="D365" s="5" t="str">
        <f>IF(A365 = "", "", COUNTIFS('Game Record'!G:G, A365, 'Game Record'!E:E, C365))</f>
        <v/>
      </c>
      <c r="E365" s="6" t="str">
        <f>IF(A365 = "", "", COUNTIFS('Game Record'!H:H, A365, 'Game Record'!E:E, C365))</f>
        <v/>
      </c>
      <c r="F365" s="2">
        <f t="shared" si="1"/>
        <v>0</v>
      </c>
      <c r="G365" s="1" t="str">
        <f>IF(A365 = "", "", COUNTIF('Game Record'!G:G, A365))</f>
        <v/>
      </c>
      <c r="H365" s="6" t="str">
        <f>IF(A365 = "", "", COUNTIF('Game Record'!H:H, A365))</f>
        <v/>
      </c>
      <c r="I365" s="2">
        <f>IFERROR(__xludf.DUMMYFUNCTION("SUM(FILTER(TeamARecordSet, INDEX(TeamARecordSet, 0, 1) = A365)) + SUM(FILTER(TeamBRecordSet, INDEX(TeamBRecordSet, 0, 1) = A365))"),0.0)</f>
        <v>0</v>
      </c>
      <c r="J365" s="2">
        <f t="shared" si="2"/>
        <v>0</v>
      </c>
      <c r="K365" s="2" t="str">
        <f t="shared" si="3"/>
        <v/>
      </c>
    </row>
    <row r="366">
      <c r="A366" s="2"/>
      <c r="B366" s="7"/>
      <c r="D366" s="5" t="str">
        <f>IF(A366 = "", "", COUNTIFS('Game Record'!G:G, A366, 'Game Record'!E:E, C366))</f>
        <v/>
      </c>
      <c r="E366" s="6" t="str">
        <f>IF(A366 = "", "", COUNTIFS('Game Record'!H:H, A366, 'Game Record'!E:E, C366))</f>
        <v/>
      </c>
      <c r="F366" s="2">
        <f t="shared" si="1"/>
        <v>0</v>
      </c>
      <c r="G366" s="1" t="str">
        <f>IF(A366 = "", "", COUNTIF('Game Record'!G:G, A366))</f>
        <v/>
      </c>
      <c r="H366" s="6" t="str">
        <f>IF(A366 = "", "", COUNTIF('Game Record'!H:H, A366))</f>
        <v/>
      </c>
      <c r="I366" s="2">
        <f>IFERROR(__xludf.DUMMYFUNCTION("SUM(FILTER(TeamARecordSet, INDEX(TeamARecordSet, 0, 1) = A366)) + SUM(FILTER(TeamBRecordSet, INDEX(TeamBRecordSet, 0, 1) = A366))"),0.0)</f>
        <v>0</v>
      </c>
      <c r="J366" s="2">
        <f t="shared" si="2"/>
        <v>0</v>
      </c>
      <c r="K366" s="2" t="str">
        <f t="shared" si="3"/>
        <v/>
      </c>
    </row>
    <row r="367">
      <c r="A367" s="2"/>
      <c r="B367" s="7"/>
      <c r="D367" s="5" t="str">
        <f>IF(A367 = "", "", COUNTIFS('Game Record'!G:G, A367, 'Game Record'!E:E, C367))</f>
        <v/>
      </c>
      <c r="E367" s="6" t="str">
        <f>IF(A367 = "", "", COUNTIFS('Game Record'!H:H, A367, 'Game Record'!E:E, C367))</f>
        <v/>
      </c>
      <c r="F367" s="2">
        <f t="shared" si="1"/>
        <v>0</v>
      </c>
      <c r="G367" s="1" t="str">
        <f>IF(A367 = "", "", COUNTIF('Game Record'!G:G, A367))</f>
        <v/>
      </c>
      <c r="H367" s="6" t="str">
        <f>IF(A367 = "", "", COUNTIF('Game Record'!H:H, A367))</f>
        <v/>
      </c>
      <c r="I367" s="2">
        <f>IFERROR(__xludf.DUMMYFUNCTION("SUM(FILTER(TeamARecordSet, INDEX(TeamARecordSet, 0, 1) = A367)) + SUM(FILTER(TeamBRecordSet, INDEX(TeamBRecordSet, 0, 1) = A367))"),0.0)</f>
        <v>0</v>
      </c>
      <c r="J367" s="2">
        <f t="shared" si="2"/>
        <v>0</v>
      </c>
      <c r="K367" s="2" t="str">
        <f t="shared" si="3"/>
        <v/>
      </c>
    </row>
    <row r="368">
      <c r="A368" s="2"/>
      <c r="B368" s="7"/>
      <c r="D368" s="5" t="str">
        <f>IF(A368 = "", "", COUNTIFS('Game Record'!G:G, A368, 'Game Record'!E:E, C368))</f>
        <v/>
      </c>
      <c r="E368" s="6" t="str">
        <f>IF(A368 = "", "", COUNTIFS('Game Record'!H:H, A368, 'Game Record'!E:E, C368))</f>
        <v/>
      </c>
      <c r="F368" s="2">
        <f t="shared" si="1"/>
        <v>0</v>
      </c>
      <c r="G368" s="1" t="str">
        <f>IF(A368 = "", "", COUNTIF('Game Record'!G:G, A368))</f>
        <v/>
      </c>
      <c r="H368" s="6" t="str">
        <f>IF(A368 = "", "", COUNTIF('Game Record'!H:H, A368))</f>
        <v/>
      </c>
      <c r="I368" s="2">
        <f>IFERROR(__xludf.DUMMYFUNCTION("SUM(FILTER(TeamARecordSet, INDEX(TeamARecordSet, 0, 1) = A368)) + SUM(FILTER(TeamBRecordSet, INDEX(TeamBRecordSet, 0, 1) = A368))"),0.0)</f>
        <v>0</v>
      </c>
      <c r="J368" s="2">
        <f t="shared" si="2"/>
        <v>0</v>
      </c>
      <c r="K368" s="2" t="str">
        <f t="shared" si="3"/>
        <v/>
      </c>
    </row>
    <row r="369">
      <c r="A369" s="2"/>
      <c r="B369" s="7"/>
      <c r="D369" s="5" t="str">
        <f>IF(A369 = "", "", COUNTIFS('Game Record'!G:G, A369, 'Game Record'!E:E, C369))</f>
        <v/>
      </c>
      <c r="E369" s="6" t="str">
        <f>IF(A369 = "", "", COUNTIFS('Game Record'!H:H, A369, 'Game Record'!E:E, C369))</f>
        <v/>
      </c>
      <c r="F369" s="2">
        <f t="shared" si="1"/>
        <v>0</v>
      </c>
      <c r="G369" s="1" t="str">
        <f>IF(A369 = "", "", COUNTIF('Game Record'!G:G, A369))</f>
        <v/>
      </c>
      <c r="H369" s="6" t="str">
        <f>IF(A369 = "", "", COUNTIF('Game Record'!H:H, A369))</f>
        <v/>
      </c>
      <c r="I369" s="2">
        <f>IFERROR(__xludf.DUMMYFUNCTION("SUM(FILTER(TeamARecordSet, INDEX(TeamARecordSet, 0, 1) = A369)) + SUM(FILTER(TeamBRecordSet, INDEX(TeamBRecordSet, 0, 1) = A369))"),0.0)</f>
        <v>0</v>
      </c>
      <c r="J369" s="2">
        <f t="shared" si="2"/>
        <v>0</v>
      </c>
      <c r="K369" s="2" t="str">
        <f t="shared" si="3"/>
        <v/>
      </c>
    </row>
    <row r="370">
      <c r="A370" s="2"/>
      <c r="B370" s="7"/>
      <c r="D370" s="5" t="str">
        <f>IF(A370 = "", "", COUNTIFS('Game Record'!G:G, A370, 'Game Record'!E:E, C370))</f>
        <v/>
      </c>
      <c r="E370" s="6" t="str">
        <f>IF(A370 = "", "", COUNTIFS('Game Record'!H:H, A370, 'Game Record'!E:E, C370))</f>
        <v/>
      </c>
      <c r="F370" s="2">
        <f t="shared" si="1"/>
        <v>0</v>
      </c>
      <c r="G370" s="1" t="str">
        <f>IF(A370 = "", "", COUNTIF('Game Record'!G:G, A370))</f>
        <v/>
      </c>
      <c r="H370" s="6" t="str">
        <f>IF(A370 = "", "", COUNTIF('Game Record'!H:H, A370))</f>
        <v/>
      </c>
      <c r="I370" s="2">
        <f>IFERROR(__xludf.DUMMYFUNCTION("SUM(FILTER(TeamARecordSet, INDEX(TeamARecordSet, 0, 1) = A370)) + SUM(FILTER(TeamBRecordSet, INDEX(TeamBRecordSet, 0, 1) = A370))"),0.0)</f>
        <v>0</v>
      </c>
      <c r="J370" s="2">
        <f t="shared" si="2"/>
        <v>0</v>
      </c>
      <c r="K370" s="2" t="str">
        <f t="shared" si="3"/>
        <v/>
      </c>
    </row>
    <row r="371">
      <c r="A371" s="2"/>
      <c r="B371" s="7"/>
      <c r="D371" s="5" t="str">
        <f>IF(A371 = "", "", COUNTIFS('Game Record'!G:G, A371, 'Game Record'!E:E, C371))</f>
        <v/>
      </c>
      <c r="E371" s="6" t="str">
        <f>IF(A371 = "", "", COUNTIFS('Game Record'!H:H, A371, 'Game Record'!E:E, C371))</f>
        <v/>
      </c>
      <c r="F371" s="2">
        <f t="shared" si="1"/>
        <v>0</v>
      </c>
      <c r="G371" s="1" t="str">
        <f>IF(A371 = "", "", COUNTIF('Game Record'!G:G, A371))</f>
        <v/>
      </c>
      <c r="H371" s="6" t="str">
        <f>IF(A371 = "", "", COUNTIF('Game Record'!H:H, A371))</f>
        <v/>
      </c>
      <c r="I371" s="2">
        <f>IFERROR(__xludf.DUMMYFUNCTION("SUM(FILTER(TeamARecordSet, INDEX(TeamARecordSet, 0, 1) = A371)) + SUM(FILTER(TeamBRecordSet, INDEX(TeamBRecordSet, 0, 1) = A371))"),0.0)</f>
        <v>0</v>
      </c>
      <c r="J371" s="2">
        <f t="shared" si="2"/>
        <v>0</v>
      </c>
      <c r="K371" s="2" t="str">
        <f t="shared" si="3"/>
        <v/>
      </c>
    </row>
    <row r="372">
      <c r="A372" s="2"/>
      <c r="B372" s="7"/>
      <c r="D372" s="5" t="str">
        <f>IF(A372 = "", "", COUNTIFS('Game Record'!G:G, A372, 'Game Record'!E:E, C372))</f>
        <v/>
      </c>
      <c r="E372" s="6" t="str">
        <f>IF(A372 = "", "", COUNTIFS('Game Record'!H:H, A372, 'Game Record'!E:E, C372))</f>
        <v/>
      </c>
      <c r="F372" s="2">
        <f t="shared" si="1"/>
        <v>0</v>
      </c>
      <c r="G372" s="1" t="str">
        <f>IF(A372 = "", "", COUNTIF('Game Record'!G:G, A372))</f>
        <v/>
      </c>
      <c r="H372" s="6" t="str">
        <f>IF(A372 = "", "", COUNTIF('Game Record'!H:H, A372))</f>
        <v/>
      </c>
      <c r="I372" s="2">
        <f>IFERROR(__xludf.DUMMYFUNCTION("SUM(FILTER(TeamARecordSet, INDEX(TeamARecordSet, 0, 1) = A372)) + SUM(FILTER(TeamBRecordSet, INDEX(TeamBRecordSet, 0, 1) = A372))"),0.0)</f>
        <v>0</v>
      </c>
      <c r="J372" s="2">
        <f t="shared" si="2"/>
        <v>0</v>
      </c>
      <c r="K372" s="2" t="str">
        <f t="shared" si="3"/>
        <v/>
      </c>
    </row>
    <row r="373">
      <c r="A373" s="2"/>
      <c r="B373" s="7"/>
      <c r="D373" s="5" t="str">
        <f>IF(A373 = "", "", COUNTIFS('Game Record'!G:G, A373, 'Game Record'!E:E, C373))</f>
        <v/>
      </c>
      <c r="E373" s="6" t="str">
        <f>IF(A373 = "", "", COUNTIFS('Game Record'!H:H, A373, 'Game Record'!E:E, C373))</f>
        <v/>
      </c>
      <c r="F373" s="2">
        <f t="shared" si="1"/>
        <v>0</v>
      </c>
      <c r="G373" s="1" t="str">
        <f>IF(A373 = "", "", COUNTIF('Game Record'!G:G, A373))</f>
        <v/>
      </c>
      <c r="H373" s="6" t="str">
        <f>IF(A373 = "", "", COUNTIF('Game Record'!H:H, A373))</f>
        <v/>
      </c>
      <c r="I373" s="2">
        <f>IFERROR(__xludf.DUMMYFUNCTION("SUM(FILTER(TeamARecordSet, INDEX(TeamARecordSet, 0, 1) = A373)) + SUM(FILTER(TeamBRecordSet, INDEX(TeamBRecordSet, 0, 1) = A373))"),0.0)</f>
        <v>0</v>
      </c>
      <c r="J373" s="2">
        <f t="shared" si="2"/>
        <v>0</v>
      </c>
      <c r="K373" s="2" t="str">
        <f t="shared" si="3"/>
        <v/>
      </c>
    </row>
    <row r="374">
      <c r="A374" s="2"/>
      <c r="B374" s="7"/>
      <c r="D374" s="5" t="str">
        <f>IF(A374 = "", "", COUNTIFS('Game Record'!G:G, A374, 'Game Record'!E:E, C374))</f>
        <v/>
      </c>
      <c r="E374" s="6" t="str">
        <f>IF(A374 = "", "", COUNTIFS('Game Record'!H:H, A374, 'Game Record'!E:E, C374))</f>
        <v/>
      </c>
      <c r="F374" s="2">
        <f t="shared" si="1"/>
        <v>0</v>
      </c>
      <c r="G374" s="1" t="str">
        <f>IF(A374 = "", "", COUNTIF('Game Record'!G:G, A374))</f>
        <v/>
      </c>
      <c r="H374" s="6" t="str">
        <f>IF(A374 = "", "", COUNTIF('Game Record'!H:H, A374))</f>
        <v/>
      </c>
      <c r="I374" s="2">
        <f>IFERROR(__xludf.DUMMYFUNCTION("SUM(FILTER(TeamARecordSet, INDEX(TeamARecordSet, 0, 1) = A374)) + SUM(FILTER(TeamBRecordSet, INDEX(TeamBRecordSet, 0, 1) = A374))"),0.0)</f>
        <v>0</v>
      </c>
      <c r="J374" s="2">
        <f t="shared" si="2"/>
        <v>0</v>
      </c>
      <c r="K374" s="2" t="str">
        <f t="shared" si="3"/>
        <v/>
      </c>
    </row>
    <row r="375">
      <c r="A375" s="2"/>
      <c r="B375" s="7"/>
      <c r="D375" s="5" t="str">
        <f>IF(A375 = "", "", COUNTIFS('Game Record'!G:G, A375, 'Game Record'!E:E, C375))</f>
        <v/>
      </c>
      <c r="E375" s="6" t="str">
        <f>IF(A375 = "", "", COUNTIFS('Game Record'!H:H, A375, 'Game Record'!E:E, C375))</f>
        <v/>
      </c>
      <c r="F375" s="2">
        <f t="shared" si="1"/>
        <v>0</v>
      </c>
      <c r="G375" s="1" t="str">
        <f>IF(A375 = "", "", COUNTIF('Game Record'!G:G, A375))</f>
        <v/>
      </c>
      <c r="H375" s="6" t="str">
        <f>IF(A375 = "", "", COUNTIF('Game Record'!H:H, A375))</f>
        <v/>
      </c>
      <c r="I375" s="2">
        <f>IFERROR(__xludf.DUMMYFUNCTION("SUM(FILTER(TeamARecordSet, INDEX(TeamARecordSet, 0, 1) = A375)) + SUM(FILTER(TeamBRecordSet, INDEX(TeamBRecordSet, 0, 1) = A375))"),0.0)</f>
        <v>0</v>
      </c>
      <c r="J375" s="2">
        <f t="shared" si="2"/>
        <v>0</v>
      </c>
      <c r="K375" s="2" t="str">
        <f t="shared" si="3"/>
        <v/>
      </c>
    </row>
    <row r="376">
      <c r="A376" s="2"/>
      <c r="B376" s="7"/>
      <c r="D376" s="5" t="str">
        <f>IF(A376 = "", "", COUNTIFS('Game Record'!G:G, A376, 'Game Record'!E:E, C376))</f>
        <v/>
      </c>
      <c r="E376" s="6" t="str">
        <f>IF(A376 = "", "", COUNTIFS('Game Record'!H:H, A376, 'Game Record'!E:E, C376))</f>
        <v/>
      </c>
      <c r="F376" s="2">
        <f t="shared" si="1"/>
        <v>0</v>
      </c>
      <c r="G376" s="1" t="str">
        <f>IF(A376 = "", "", COUNTIF('Game Record'!G:G, A376))</f>
        <v/>
      </c>
      <c r="H376" s="6" t="str">
        <f>IF(A376 = "", "", COUNTIF('Game Record'!H:H, A376))</f>
        <v/>
      </c>
      <c r="I376" s="2">
        <f>IFERROR(__xludf.DUMMYFUNCTION("SUM(FILTER(TeamARecordSet, INDEX(TeamARecordSet, 0, 1) = A376)) + SUM(FILTER(TeamBRecordSet, INDEX(TeamBRecordSet, 0, 1) = A376))"),0.0)</f>
        <v>0</v>
      </c>
      <c r="J376" s="2">
        <f t="shared" si="2"/>
        <v>0</v>
      </c>
      <c r="K376" s="2" t="str">
        <f t="shared" si="3"/>
        <v/>
      </c>
    </row>
    <row r="377">
      <c r="A377" s="2"/>
      <c r="B377" s="7"/>
      <c r="D377" s="5" t="str">
        <f>IF(A377 = "", "", COUNTIFS('Game Record'!G:G, A377, 'Game Record'!E:E, C377))</f>
        <v/>
      </c>
      <c r="E377" s="6" t="str">
        <f>IF(A377 = "", "", COUNTIFS('Game Record'!H:H, A377, 'Game Record'!E:E, C377))</f>
        <v/>
      </c>
      <c r="F377" s="2">
        <f t="shared" si="1"/>
        <v>0</v>
      </c>
      <c r="G377" s="1" t="str">
        <f>IF(A377 = "", "", COUNTIF('Game Record'!G:G, A377))</f>
        <v/>
      </c>
      <c r="H377" s="6" t="str">
        <f>IF(A377 = "", "", COUNTIF('Game Record'!H:H, A377))</f>
        <v/>
      </c>
      <c r="I377" s="2">
        <f>IFERROR(__xludf.DUMMYFUNCTION("SUM(FILTER(TeamARecordSet, INDEX(TeamARecordSet, 0, 1) = A377)) + SUM(FILTER(TeamBRecordSet, INDEX(TeamBRecordSet, 0, 1) = A377))"),0.0)</f>
        <v>0</v>
      </c>
      <c r="J377" s="2">
        <f t="shared" si="2"/>
        <v>0</v>
      </c>
      <c r="K377" s="2" t="str">
        <f t="shared" si="3"/>
        <v/>
      </c>
    </row>
    <row r="378">
      <c r="A378" s="2"/>
      <c r="B378" s="7"/>
      <c r="D378" s="5" t="str">
        <f>IF(A378 = "", "", COUNTIFS('Game Record'!G:G, A378, 'Game Record'!E:E, C378))</f>
        <v/>
      </c>
      <c r="E378" s="6" t="str">
        <f>IF(A378 = "", "", COUNTIFS('Game Record'!H:H, A378, 'Game Record'!E:E, C378))</f>
        <v/>
      </c>
      <c r="F378" s="2">
        <f t="shared" si="1"/>
        <v>0</v>
      </c>
      <c r="G378" s="1" t="str">
        <f>IF(A378 = "", "", COUNTIF('Game Record'!G:G, A378))</f>
        <v/>
      </c>
      <c r="H378" s="6" t="str">
        <f>IF(A378 = "", "", COUNTIF('Game Record'!H:H, A378))</f>
        <v/>
      </c>
      <c r="I378" s="2">
        <f>IFERROR(__xludf.DUMMYFUNCTION("SUM(FILTER(TeamARecordSet, INDEX(TeamARecordSet, 0, 1) = A378)) + SUM(FILTER(TeamBRecordSet, INDEX(TeamBRecordSet, 0, 1) = A378))"),0.0)</f>
        <v>0</v>
      </c>
      <c r="J378" s="2">
        <f t="shared" si="2"/>
        <v>0</v>
      </c>
      <c r="K378" s="2" t="str">
        <f t="shared" si="3"/>
        <v/>
      </c>
    </row>
    <row r="379">
      <c r="A379" s="2"/>
      <c r="B379" s="7"/>
      <c r="D379" s="5" t="str">
        <f>IF(A379 = "", "", COUNTIFS('Game Record'!G:G, A379, 'Game Record'!E:E, C379))</f>
        <v/>
      </c>
      <c r="E379" s="6" t="str">
        <f>IF(A379 = "", "", COUNTIFS('Game Record'!H:H, A379, 'Game Record'!E:E, C379))</f>
        <v/>
      </c>
      <c r="F379" s="2">
        <f t="shared" si="1"/>
        <v>0</v>
      </c>
      <c r="G379" s="1" t="str">
        <f>IF(A379 = "", "", COUNTIF('Game Record'!G:G, A379))</f>
        <v/>
      </c>
      <c r="H379" s="6" t="str">
        <f>IF(A379 = "", "", COUNTIF('Game Record'!H:H, A379))</f>
        <v/>
      </c>
      <c r="I379" s="2">
        <f>IFERROR(__xludf.DUMMYFUNCTION("SUM(FILTER(TeamARecordSet, INDEX(TeamARecordSet, 0, 1) = A379)) + SUM(FILTER(TeamBRecordSet, INDEX(TeamBRecordSet, 0, 1) = A379))"),0.0)</f>
        <v>0</v>
      </c>
      <c r="J379" s="2">
        <f t="shared" si="2"/>
        <v>0</v>
      </c>
      <c r="K379" s="2" t="str">
        <f t="shared" si="3"/>
        <v/>
      </c>
    </row>
    <row r="380">
      <c r="A380" s="2"/>
      <c r="B380" s="7"/>
      <c r="D380" s="5" t="str">
        <f>IF(A380 = "", "", COUNTIFS('Game Record'!G:G, A380, 'Game Record'!E:E, C380))</f>
        <v/>
      </c>
      <c r="E380" s="6" t="str">
        <f>IF(A380 = "", "", COUNTIFS('Game Record'!H:H, A380, 'Game Record'!E:E, C380))</f>
        <v/>
      </c>
      <c r="F380" s="2">
        <f t="shared" si="1"/>
        <v>0</v>
      </c>
      <c r="G380" s="1" t="str">
        <f>IF(A380 = "", "", COUNTIF('Game Record'!G:G, A380))</f>
        <v/>
      </c>
      <c r="H380" s="6" t="str">
        <f>IF(A380 = "", "", COUNTIF('Game Record'!H:H, A380))</f>
        <v/>
      </c>
      <c r="I380" s="2">
        <f>IFERROR(__xludf.DUMMYFUNCTION("SUM(FILTER(TeamARecordSet, INDEX(TeamARecordSet, 0, 1) = A380)) + SUM(FILTER(TeamBRecordSet, INDEX(TeamBRecordSet, 0, 1) = A380))"),0.0)</f>
        <v>0</v>
      </c>
      <c r="J380" s="2">
        <f t="shared" si="2"/>
        <v>0</v>
      </c>
      <c r="K380" s="2" t="str">
        <f t="shared" si="3"/>
        <v/>
      </c>
    </row>
    <row r="381">
      <c r="A381" s="2"/>
      <c r="B381" s="7"/>
      <c r="D381" s="5" t="str">
        <f>IF(A381 = "", "", COUNTIFS('Game Record'!G:G, A381, 'Game Record'!E:E, C381))</f>
        <v/>
      </c>
      <c r="E381" s="6" t="str">
        <f>IF(A381 = "", "", COUNTIFS('Game Record'!H:H, A381, 'Game Record'!E:E, C381))</f>
        <v/>
      </c>
      <c r="F381" s="2">
        <f t="shared" si="1"/>
        <v>0</v>
      </c>
      <c r="G381" s="1" t="str">
        <f>IF(A381 = "", "", COUNTIF('Game Record'!G:G, A381))</f>
        <v/>
      </c>
      <c r="H381" s="6" t="str">
        <f>IF(A381 = "", "", COUNTIF('Game Record'!H:H, A381))</f>
        <v/>
      </c>
      <c r="I381" s="2">
        <f>IFERROR(__xludf.DUMMYFUNCTION("SUM(FILTER(TeamARecordSet, INDEX(TeamARecordSet, 0, 1) = A381)) + SUM(FILTER(TeamBRecordSet, INDEX(TeamBRecordSet, 0, 1) = A381))"),0.0)</f>
        <v>0</v>
      </c>
      <c r="J381" s="2">
        <f t="shared" si="2"/>
        <v>0</v>
      </c>
      <c r="K381" s="2" t="str">
        <f t="shared" si="3"/>
        <v/>
      </c>
    </row>
    <row r="382">
      <c r="A382" s="2"/>
      <c r="B382" s="7"/>
      <c r="D382" s="5" t="str">
        <f>IF(A382 = "", "", COUNTIFS('Game Record'!G:G, A382, 'Game Record'!E:E, C382))</f>
        <v/>
      </c>
      <c r="E382" s="6" t="str">
        <f>IF(A382 = "", "", COUNTIFS('Game Record'!H:H, A382, 'Game Record'!E:E, C382))</f>
        <v/>
      </c>
      <c r="F382" s="2">
        <f t="shared" si="1"/>
        <v>0</v>
      </c>
      <c r="G382" s="1" t="str">
        <f>IF(A382 = "", "", COUNTIF('Game Record'!G:G, A382))</f>
        <v/>
      </c>
      <c r="H382" s="6" t="str">
        <f>IF(A382 = "", "", COUNTIF('Game Record'!H:H, A382))</f>
        <v/>
      </c>
      <c r="I382" s="2">
        <f>IFERROR(__xludf.DUMMYFUNCTION("SUM(FILTER(TeamARecordSet, INDEX(TeamARecordSet, 0, 1) = A382)) + SUM(FILTER(TeamBRecordSet, INDEX(TeamBRecordSet, 0, 1) = A382))"),0.0)</f>
        <v>0</v>
      </c>
      <c r="J382" s="2">
        <f t="shared" si="2"/>
        <v>0</v>
      </c>
      <c r="K382" s="2" t="str">
        <f t="shared" si="3"/>
        <v/>
      </c>
    </row>
    <row r="383">
      <c r="A383" s="2"/>
      <c r="B383" s="7"/>
      <c r="D383" s="5" t="str">
        <f>IF(A383 = "", "", COUNTIFS('Game Record'!G:G, A383, 'Game Record'!E:E, C383))</f>
        <v/>
      </c>
      <c r="E383" s="6" t="str">
        <f>IF(A383 = "", "", COUNTIFS('Game Record'!H:H, A383, 'Game Record'!E:E, C383))</f>
        <v/>
      </c>
      <c r="F383" s="2">
        <f t="shared" si="1"/>
        <v>0</v>
      </c>
      <c r="G383" s="1" t="str">
        <f>IF(A383 = "", "", COUNTIF('Game Record'!G:G, A383))</f>
        <v/>
      </c>
      <c r="H383" s="6" t="str">
        <f>IF(A383 = "", "", COUNTIF('Game Record'!H:H, A383))</f>
        <v/>
      </c>
      <c r="I383" s="2">
        <f>IFERROR(__xludf.DUMMYFUNCTION("SUM(FILTER(TeamARecordSet, INDEX(TeamARecordSet, 0, 1) = A383)) + SUM(FILTER(TeamBRecordSet, INDEX(TeamBRecordSet, 0, 1) = A383))"),0.0)</f>
        <v>0</v>
      </c>
      <c r="J383" s="2">
        <f t="shared" si="2"/>
        <v>0</v>
      </c>
      <c r="K383" s="2" t="str">
        <f t="shared" si="3"/>
        <v/>
      </c>
    </row>
    <row r="384">
      <c r="A384" s="2"/>
      <c r="B384" s="7"/>
      <c r="D384" s="5" t="str">
        <f>IF(A384 = "", "", COUNTIFS('Game Record'!G:G, A384, 'Game Record'!E:E, C384))</f>
        <v/>
      </c>
      <c r="E384" s="6" t="str">
        <f>IF(A384 = "", "", COUNTIFS('Game Record'!H:H, A384, 'Game Record'!E:E, C384))</f>
        <v/>
      </c>
      <c r="F384" s="2">
        <f t="shared" si="1"/>
        <v>0</v>
      </c>
      <c r="G384" s="1" t="str">
        <f>IF(A384 = "", "", COUNTIF('Game Record'!G:G, A384))</f>
        <v/>
      </c>
      <c r="H384" s="6" t="str">
        <f>IF(A384 = "", "", COUNTIF('Game Record'!H:H, A384))</f>
        <v/>
      </c>
      <c r="I384" s="2">
        <f>IFERROR(__xludf.DUMMYFUNCTION("SUM(FILTER(TeamARecordSet, INDEX(TeamARecordSet, 0, 1) = A384)) + SUM(FILTER(TeamBRecordSet, INDEX(TeamBRecordSet, 0, 1) = A384))"),0.0)</f>
        <v>0</v>
      </c>
      <c r="J384" s="2">
        <f t="shared" si="2"/>
        <v>0</v>
      </c>
      <c r="K384" s="2" t="str">
        <f t="shared" si="3"/>
        <v/>
      </c>
    </row>
    <row r="385">
      <c r="A385" s="2"/>
      <c r="B385" s="7"/>
      <c r="D385" s="5" t="str">
        <f>IF(A385 = "", "", COUNTIFS('Game Record'!G:G, A385, 'Game Record'!E:E, C385))</f>
        <v/>
      </c>
      <c r="E385" s="6" t="str">
        <f>IF(A385 = "", "", COUNTIFS('Game Record'!H:H, A385, 'Game Record'!E:E, C385))</f>
        <v/>
      </c>
      <c r="F385" s="2">
        <f t="shared" si="1"/>
        <v>0</v>
      </c>
      <c r="G385" s="1" t="str">
        <f>IF(A385 = "", "", COUNTIF('Game Record'!G:G, A385))</f>
        <v/>
      </c>
      <c r="H385" s="6" t="str">
        <f>IF(A385 = "", "", COUNTIF('Game Record'!H:H, A385))</f>
        <v/>
      </c>
      <c r="I385" s="2">
        <f>IFERROR(__xludf.DUMMYFUNCTION("SUM(FILTER(TeamARecordSet, INDEX(TeamARecordSet, 0, 1) = A385)) + SUM(FILTER(TeamBRecordSet, INDEX(TeamBRecordSet, 0, 1) = A385))"),0.0)</f>
        <v>0</v>
      </c>
      <c r="J385" s="2">
        <f t="shared" si="2"/>
        <v>0</v>
      </c>
      <c r="K385" s="2" t="str">
        <f t="shared" si="3"/>
        <v/>
      </c>
    </row>
    <row r="386">
      <c r="A386" s="2"/>
      <c r="B386" s="7"/>
      <c r="D386" s="5" t="str">
        <f>IF(A386 = "", "", COUNTIFS('Game Record'!G:G, A386, 'Game Record'!E:E, C386))</f>
        <v/>
      </c>
      <c r="E386" s="6" t="str">
        <f>IF(A386 = "", "", COUNTIFS('Game Record'!H:H, A386, 'Game Record'!E:E, C386))</f>
        <v/>
      </c>
      <c r="F386" s="2">
        <f t="shared" si="1"/>
        <v>0</v>
      </c>
      <c r="G386" s="1" t="str">
        <f>IF(A386 = "", "", COUNTIF('Game Record'!G:G, A386))</f>
        <v/>
      </c>
      <c r="H386" s="6" t="str">
        <f>IF(A386 = "", "", COUNTIF('Game Record'!H:H, A386))</f>
        <v/>
      </c>
      <c r="I386" s="2">
        <f>IFERROR(__xludf.DUMMYFUNCTION("SUM(FILTER(TeamARecordSet, INDEX(TeamARecordSet, 0, 1) = A386)) + SUM(FILTER(TeamBRecordSet, INDEX(TeamBRecordSet, 0, 1) = A386))"),0.0)</f>
        <v>0</v>
      </c>
      <c r="J386" s="2">
        <f t="shared" si="2"/>
        <v>0</v>
      </c>
      <c r="K386" s="2" t="str">
        <f t="shared" si="3"/>
        <v/>
      </c>
    </row>
    <row r="387">
      <c r="A387" s="2"/>
      <c r="B387" s="7"/>
      <c r="D387" s="5" t="str">
        <f>IF(A387 = "", "", COUNTIFS('Game Record'!G:G, A387, 'Game Record'!E:E, C387))</f>
        <v/>
      </c>
      <c r="E387" s="6" t="str">
        <f>IF(A387 = "", "", COUNTIFS('Game Record'!H:H, A387, 'Game Record'!E:E, C387))</f>
        <v/>
      </c>
      <c r="F387" s="2">
        <f t="shared" si="1"/>
        <v>0</v>
      </c>
      <c r="G387" s="1" t="str">
        <f>IF(A387 = "", "", COUNTIF('Game Record'!G:G, A387))</f>
        <v/>
      </c>
      <c r="H387" s="6" t="str">
        <f>IF(A387 = "", "", COUNTIF('Game Record'!H:H, A387))</f>
        <v/>
      </c>
      <c r="I387" s="2">
        <f>IFERROR(__xludf.DUMMYFUNCTION("SUM(FILTER(TeamARecordSet, INDEX(TeamARecordSet, 0, 1) = A387)) + SUM(FILTER(TeamBRecordSet, INDEX(TeamBRecordSet, 0, 1) = A387))"),0.0)</f>
        <v>0</v>
      </c>
      <c r="J387" s="2">
        <f t="shared" si="2"/>
        <v>0</v>
      </c>
      <c r="K387" s="2" t="str">
        <f t="shared" si="3"/>
        <v/>
      </c>
    </row>
    <row r="388">
      <c r="A388" s="2"/>
      <c r="B388" s="7"/>
      <c r="D388" s="5" t="str">
        <f>IF(A388 = "", "", COUNTIFS('Game Record'!G:G, A388, 'Game Record'!E:E, C388))</f>
        <v/>
      </c>
      <c r="E388" s="6" t="str">
        <f>IF(A388 = "", "", COUNTIFS('Game Record'!H:H, A388, 'Game Record'!E:E, C388))</f>
        <v/>
      </c>
      <c r="F388" s="2">
        <f t="shared" si="1"/>
        <v>0</v>
      </c>
      <c r="G388" s="1" t="str">
        <f>IF(A388 = "", "", COUNTIF('Game Record'!G:G, A388))</f>
        <v/>
      </c>
      <c r="H388" s="6" t="str">
        <f>IF(A388 = "", "", COUNTIF('Game Record'!H:H, A388))</f>
        <v/>
      </c>
      <c r="I388" s="2">
        <f>IFERROR(__xludf.DUMMYFUNCTION("SUM(FILTER(TeamARecordSet, INDEX(TeamARecordSet, 0, 1) = A388)) + SUM(FILTER(TeamBRecordSet, INDEX(TeamBRecordSet, 0, 1) = A388))"),0.0)</f>
        <v>0</v>
      </c>
      <c r="J388" s="2">
        <f t="shared" si="2"/>
        <v>0</v>
      </c>
      <c r="K388" s="2" t="str">
        <f t="shared" si="3"/>
        <v/>
      </c>
    </row>
    <row r="389">
      <c r="A389" s="2"/>
      <c r="B389" s="7"/>
      <c r="D389" s="5" t="str">
        <f>IF(A389 = "", "", COUNTIFS('Game Record'!G:G, A389, 'Game Record'!E:E, C389))</f>
        <v/>
      </c>
      <c r="E389" s="6" t="str">
        <f>IF(A389 = "", "", COUNTIFS('Game Record'!H:H, A389, 'Game Record'!E:E, C389))</f>
        <v/>
      </c>
      <c r="F389" s="2">
        <f t="shared" si="1"/>
        <v>0</v>
      </c>
      <c r="G389" s="1" t="str">
        <f>IF(A389 = "", "", COUNTIF('Game Record'!G:G, A389))</f>
        <v/>
      </c>
      <c r="H389" s="6" t="str">
        <f>IF(A389 = "", "", COUNTIF('Game Record'!H:H, A389))</f>
        <v/>
      </c>
      <c r="I389" s="2">
        <f>IFERROR(__xludf.DUMMYFUNCTION("SUM(FILTER(TeamARecordSet, INDEX(TeamARecordSet, 0, 1) = A389)) + SUM(FILTER(TeamBRecordSet, INDEX(TeamBRecordSet, 0, 1) = A389))"),0.0)</f>
        <v>0</v>
      </c>
      <c r="J389" s="2">
        <f t="shared" si="2"/>
        <v>0</v>
      </c>
      <c r="K389" s="2" t="str">
        <f t="shared" si="3"/>
        <v/>
      </c>
    </row>
    <row r="390">
      <c r="A390" s="2"/>
      <c r="B390" s="7"/>
      <c r="D390" s="5" t="str">
        <f>IF(A390 = "", "", COUNTIFS('Game Record'!G:G, A390, 'Game Record'!E:E, C390))</f>
        <v/>
      </c>
      <c r="E390" s="6" t="str">
        <f>IF(A390 = "", "", COUNTIFS('Game Record'!H:H, A390, 'Game Record'!E:E, C390))</f>
        <v/>
      </c>
      <c r="F390" s="2">
        <f t="shared" si="1"/>
        <v>0</v>
      </c>
      <c r="G390" s="1" t="str">
        <f>IF(A390 = "", "", COUNTIF('Game Record'!G:G, A390))</f>
        <v/>
      </c>
      <c r="H390" s="6" t="str">
        <f>IF(A390 = "", "", COUNTIF('Game Record'!H:H, A390))</f>
        <v/>
      </c>
      <c r="I390" s="2">
        <f>IFERROR(__xludf.DUMMYFUNCTION("SUM(FILTER(TeamARecordSet, INDEX(TeamARecordSet, 0, 1) = A390)) + SUM(FILTER(TeamBRecordSet, INDEX(TeamBRecordSet, 0, 1) = A390))"),0.0)</f>
        <v>0</v>
      </c>
      <c r="J390" s="2">
        <f t="shared" si="2"/>
        <v>0</v>
      </c>
      <c r="K390" s="2" t="str">
        <f t="shared" si="3"/>
        <v/>
      </c>
    </row>
    <row r="391">
      <c r="A391" s="2"/>
      <c r="B391" s="7"/>
      <c r="D391" s="5" t="str">
        <f>IF(A391 = "", "", COUNTIFS('Game Record'!G:G, A391, 'Game Record'!E:E, C391))</f>
        <v/>
      </c>
      <c r="E391" s="6" t="str">
        <f>IF(A391 = "", "", COUNTIFS('Game Record'!H:H, A391, 'Game Record'!E:E, C391))</f>
        <v/>
      </c>
      <c r="F391" s="2">
        <f t="shared" si="1"/>
        <v>0</v>
      </c>
      <c r="G391" s="1" t="str">
        <f>IF(A391 = "", "", COUNTIF('Game Record'!G:G, A391))</f>
        <v/>
      </c>
      <c r="H391" s="6" t="str">
        <f>IF(A391 = "", "", COUNTIF('Game Record'!H:H, A391))</f>
        <v/>
      </c>
      <c r="I391" s="2">
        <f>IFERROR(__xludf.DUMMYFUNCTION("SUM(FILTER(TeamARecordSet, INDEX(TeamARecordSet, 0, 1) = A391)) + SUM(FILTER(TeamBRecordSet, INDEX(TeamBRecordSet, 0, 1) = A391))"),0.0)</f>
        <v>0</v>
      </c>
      <c r="J391" s="2">
        <f t="shared" si="2"/>
        <v>0</v>
      </c>
      <c r="K391" s="2" t="str">
        <f t="shared" si="3"/>
        <v/>
      </c>
    </row>
    <row r="392">
      <c r="A392" s="2"/>
      <c r="B392" s="7"/>
      <c r="D392" s="5" t="str">
        <f>IF(A392 = "", "", COUNTIFS('Game Record'!G:G, A392, 'Game Record'!E:E, C392))</f>
        <v/>
      </c>
      <c r="E392" s="6" t="str">
        <f>IF(A392 = "", "", COUNTIFS('Game Record'!H:H, A392, 'Game Record'!E:E, C392))</f>
        <v/>
      </c>
      <c r="F392" s="2">
        <f t="shared" si="1"/>
        <v>0</v>
      </c>
      <c r="G392" s="1" t="str">
        <f>IF(A392 = "", "", COUNTIF('Game Record'!G:G, A392))</f>
        <v/>
      </c>
      <c r="H392" s="6" t="str">
        <f>IF(A392 = "", "", COUNTIF('Game Record'!H:H, A392))</f>
        <v/>
      </c>
      <c r="I392" s="2">
        <f>IFERROR(__xludf.DUMMYFUNCTION("SUM(FILTER(TeamARecordSet, INDEX(TeamARecordSet, 0, 1) = A392)) + SUM(FILTER(TeamBRecordSet, INDEX(TeamBRecordSet, 0, 1) = A392))"),0.0)</f>
        <v>0</v>
      </c>
      <c r="J392" s="2">
        <f t="shared" si="2"/>
        <v>0</v>
      </c>
      <c r="K392" s="2" t="str">
        <f t="shared" si="3"/>
        <v/>
      </c>
    </row>
    <row r="393">
      <c r="A393" s="2"/>
      <c r="B393" s="7"/>
      <c r="D393" s="5" t="str">
        <f>IF(A393 = "", "", COUNTIFS('Game Record'!G:G, A393, 'Game Record'!E:E, C393))</f>
        <v/>
      </c>
      <c r="E393" s="6" t="str">
        <f>IF(A393 = "", "", COUNTIFS('Game Record'!H:H, A393, 'Game Record'!E:E, C393))</f>
        <v/>
      </c>
      <c r="F393" s="2">
        <f t="shared" si="1"/>
        <v>0</v>
      </c>
      <c r="G393" s="1" t="str">
        <f>IF(A393 = "", "", COUNTIF('Game Record'!G:G, A393))</f>
        <v/>
      </c>
      <c r="H393" s="6" t="str">
        <f>IF(A393 = "", "", COUNTIF('Game Record'!H:H, A393))</f>
        <v/>
      </c>
      <c r="I393" s="2">
        <f>IFERROR(__xludf.DUMMYFUNCTION("SUM(FILTER(TeamARecordSet, INDEX(TeamARecordSet, 0, 1) = A393)) + SUM(FILTER(TeamBRecordSet, INDEX(TeamBRecordSet, 0, 1) = A393))"),0.0)</f>
        <v>0</v>
      </c>
      <c r="J393" s="2">
        <f t="shared" si="2"/>
        <v>0</v>
      </c>
      <c r="K393" s="2" t="str">
        <f t="shared" si="3"/>
        <v/>
      </c>
    </row>
    <row r="394">
      <c r="A394" s="2"/>
      <c r="B394" s="7"/>
      <c r="D394" s="5" t="str">
        <f>IF(A394 = "", "", COUNTIFS('Game Record'!G:G, A394, 'Game Record'!E:E, C394))</f>
        <v/>
      </c>
      <c r="E394" s="6" t="str">
        <f>IF(A394 = "", "", COUNTIFS('Game Record'!H:H, A394, 'Game Record'!E:E, C394))</f>
        <v/>
      </c>
      <c r="F394" s="2">
        <f t="shared" si="1"/>
        <v>0</v>
      </c>
      <c r="G394" s="1" t="str">
        <f>IF(A394 = "", "", COUNTIF('Game Record'!G:G, A394))</f>
        <v/>
      </c>
      <c r="H394" s="6" t="str">
        <f>IF(A394 = "", "", COUNTIF('Game Record'!H:H, A394))</f>
        <v/>
      </c>
      <c r="I394" s="2">
        <f>IFERROR(__xludf.DUMMYFUNCTION("SUM(FILTER(TeamARecordSet, INDEX(TeamARecordSet, 0, 1) = A394)) + SUM(FILTER(TeamBRecordSet, INDEX(TeamBRecordSet, 0, 1) = A394))"),0.0)</f>
        <v>0</v>
      </c>
      <c r="J394" s="2">
        <f t="shared" si="2"/>
        <v>0</v>
      </c>
      <c r="K394" s="2" t="str">
        <f t="shared" si="3"/>
        <v/>
      </c>
    </row>
    <row r="395">
      <c r="A395" s="2"/>
      <c r="B395" s="7"/>
      <c r="D395" s="5" t="str">
        <f>IF(A395 = "", "", COUNTIFS('Game Record'!G:G, A395, 'Game Record'!E:E, C395))</f>
        <v/>
      </c>
      <c r="E395" s="6" t="str">
        <f>IF(A395 = "", "", COUNTIFS('Game Record'!H:H, A395, 'Game Record'!E:E, C395))</f>
        <v/>
      </c>
      <c r="F395" s="2">
        <f t="shared" si="1"/>
        <v>0</v>
      </c>
      <c r="G395" s="1" t="str">
        <f>IF(A395 = "", "", COUNTIF('Game Record'!G:G, A395))</f>
        <v/>
      </c>
      <c r="H395" s="6" t="str">
        <f>IF(A395 = "", "", COUNTIF('Game Record'!H:H, A395))</f>
        <v/>
      </c>
      <c r="I395" s="2">
        <f>IFERROR(__xludf.DUMMYFUNCTION("SUM(FILTER(TeamARecordSet, INDEX(TeamARecordSet, 0, 1) = A395)) + SUM(FILTER(TeamBRecordSet, INDEX(TeamBRecordSet, 0, 1) = A395))"),0.0)</f>
        <v>0</v>
      </c>
      <c r="J395" s="2">
        <f t="shared" si="2"/>
        <v>0</v>
      </c>
      <c r="K395" s="2" t="str">
        <f t="shared" si="3"/>
        <v/>
      </c>
    </row>
    <row r="396">
      <c r="A396" s="2"/>
      <c r="B396" s="7"/>
      <c r="D396" s="5" t="str">
        <f>IF(A396 = "", "", COUNTIFS('Game Record'!G:G, A396, 'Game Record'!E:E, C396))</f>
        <v/>
      </c>
      <c r="E396" s="6" t="str">
        <f>IF(A396 = "", "", COUNTIFS('Game Record'!H:H, A396, 'Game Record'!E:E, C396))</f>
        <v/>
      </c>
      <c r="F396" s="2">
        <f t="shared" si="1"/>
        <v>0</v>
      </c>
      <c r="G396" s="1" t="str">
        <f>IF(A396 = "", "", COUNTIF('Game Record'!G:G, A396))</f>
        <v/>
      </c>
      <c r="H396" s="6" t="str">
        <f>IF(A396 = "", "", COUNTIF('Game Record'!H:H, A396))</f>
        <v/>
      </c>
      <c r="I396" s="2">
        <f>IFERROR(__xludf.DUMMYFUNCTION("SUM(FILTER(TeamARecordSet, INDEX(TeamARecordSet, 0, 1) = A396)) + SUM(FILTER(TeamBRecordSet, INDEX(TeamBRecordSet, 0, 1) = A396))"),0.0)</f>
        <v>0</v>
      </c>
      <c r="J396" s="2">
        <f t="shared" si="2"/>
        <v>0</v>
      </c>
      <c r="K396" s="2" t="str">
        <f t="shared" si="3"/>
        <v/>
      </c>
    </row>
    <row r="397">
      <c r="A397" s="2"/>
      <c r="B397" s="7"/>
      <c r="D397" s="5" t="str">
        <f>IF(A397 = "", "", COUNTIFS('Game Record'!G:G, A397, 'Game Record'!E:E, C397))</f>
        <v/>
      </c>
      <c r="E397" s="6" t="str">
        <f>IF(A397 = "", "", COUNTIFS('Game Record'!H:H, A397, 'Game Record'!E:E, C397))</f>
        <v/>
      </c>
      <c r="F397" s="2">
        <f t="shared" si="1"/>
        <v>0</v>
      </c>
      <c r="G397" s="1" t="str">
        <f>IF(A397 = "", "", COUNTIF('Game Record'!G:G, A397))</f>
        <v/>
      </c>
      <c r="H397" s="6" t="str">
        <f>IF(A397 = "", "", COUNTIF('Game Record'!H:H, A397))</f>
        <v/>
      </c>
      <c r="I397" s="2">
        <f>IFERROR(__xludf.DUMMYFUNCTION("SUM(FILTER(TeamARecordSet, INDEX(TeamARecordSet, 0, 1) = A397)) + SUM(FILTER(TeamBRecordSet, INDEX(TeamBRecordSet, 0, 1) = A397))"),0.0)</f>
        <v>0</v>
      </c>
      <c r="J397" s="2">
        <f t="shared" si="2"/>
        <v>0</v>
      </c>
      <c r="K397" s="2" t="str">
        <f t="shared" si="3"/>
        <v/>
      </c>
    </row>
    <row r="398">
      <c r="A398" s="2"/>
      <c r="B398" s="7"/>
      <c r="D398" s="5" t="str">
        <f>IF(A398 = "", "", COUNTIFS('Game Record'!G:G, A398, 'Game Record'!E:E, C398))</f>
        <v/>
      </c>
      <c r="E398" s="6" t="str">
        <f>IF(A398 = "", "", COUNTIFS('Game Record'!H:H, A398, 'Game Record'!E:E, C398))</f>
        <v/>
      </c>
      <c r="F398" s="2">
        <f t="shared" si="1"/>
        <v>0</v>
      </c>
      <c r="G398" s="1" t="str">
        <f>IF(A398 = "", "", COUNTIF('Game Record'!G:G, A398))</f>
        <v/>
      </c>
      <c r="H398" s="6" t="str">
        <f>IF(A398 = "", "", COUNTIF('Game Record'!H:H, A398))</f>
        <v/>
      </c>
      <c r="I398" s="2">
        <f>IFERROR(__xludf.DUMMYFUNCTION("SUM(FILTER(TeamARecordSet, INDEX(TeamARecordSet, 0, 1) = A398)) + SUM(FILTER(TeamBRecordSet, INDEX(TeamBRecordSet, 0, 1) = A398))"),0.0)</f>
        <v>0</v>
      </c>
      <c r="J398" s="2">
        <f t="shared" si="2"/>
        <v>0</v>
      </c>
      <c r="K398" s="2" t="str">
        <f t="shared" si="3"/>
        <v/>
      </c>
    </row>
    <row r="399">
      <c r="A399" s="2"/>
      <c r="B399" s="7"/>
      <c r="D399" s="5" t="str">
        <f>IF(A399 = "", "", COUNTIFS('Game Record'!G:G, A399, 'Game Record'!E:E, C399))</f>
        <v/>
      </c>
      <c r="E399" s="6" t="str">
        <f>IF(A399 = "", "", COUNTIFS('Game Record'!H:H, A399, 'Game Record'!E:E, C399))</f>
        <v/>
      </c>
      <c r="F399" s="2">
        <f t="shared" si="1"/>
        <v>0</v>
      </c>
      <c r="G399" s="1" t="str">
        <f>IF(A399 = "", "", COUNTIF('Game Record'!G:G, A399))</f>
        <v/>
      </c>
      <c r="H399" s="6" t="str">
        <f>IF(A399 = "", "", COUNTIF('Game Record'!H:H, A399))</f>
        <v/>
      </c>
      <c r="I399" s="2">
        <f>IFERROR(__xludf.DUMMYFUNCTION("SUM(FILTER(TeamARecordSet, INDEX(TeamARecordSet, 0, 1) = A399)) + SUM(FILTER(TeamBRecordSet, INDEX(TeamBRecordSet, 0, 1) = A399))"),0.0)</f>
        <v>0</v>
      </c>
      <c r="J399" s="2">
        <f t="shared" si="2"/>
        <v>0</v>
      </c>
      <c r="K399" s="2" t="str">
        <f t="shared" si="3"/>
        <v/>
      </c>
    </row>
    <row r="400">
      <c r="A400" s="2"/>
      <c r="B400" s="7"/>
      <c r="D400" s="5" t="str">
        <f>IF(A400 = "", "", COUNTIFS('Game Record'!G:G, A400, 'Game Record'!E:E, C400))</f>
        <v/>
      </c>
      <c r="E400" s="6" t="str">
        <f>IF(A400 = "", "", COUNTIFS('Game Record'!H:H, A400, 'Game Record'!E:E, C400))</f>
        <v/>
      </c>
      <c r="F400" s="2">
        <f t="shared" si="1"/>
        <v>0</v>
      </c>
      <c r="G400" s="1" t="str">
        <f>IF(A400 = "", "", COUNTIF('Game Record'!G:G, A400))</f>
        <v/>
      </c>
      <c r="H400" s="6" t="str">
        <f>IF(A400 = "", "", COUNTIF('Game Record'!H:H, A400))</f>
        <v/>
      </c>
      <c r="I400" s="2">
        <f>IFERROR(__xludf.DUMMYFUNCTION("SUM(FILTER(TeamARecordSet, INDEX(TeamARecordSet, 0, 1) = A400)) + SUM(FILTER(TeamBRecordSet, INDEX(TeamBRecordSet, 0, 1) = A400))"),0.0)</f>
        <v>0</v>
      </c>
      <c r="J400" s="2">
        <f t="shared" si="2"/>
        <v>0</v>
      </c>
      <c r="K400" s="2" t="str">
        <f t="shared" si="3"/>
        <v/>
      </c>
    </row>
    <row r="401">
      <c r="A401" s="2"/>
      <c r="B401" s="7"/>
      <c r="D401" s="5" t="str">
        <f>IF(A401 = "", "", COUNTIFS('Game Record'!G:G, A401, 'Game Record'!E:E, C401))</f>
        <v/>
      </c>
      <c r="E401" s="6" t="str">
        <f>IF(A401 = "", "", COUNTIFS('Game Record'!H:H, A401, 'Game Record'!E:E, C401))</f>
        <v/>
      </c>
      <c r="F401" s="2">
        <f t="shared" si="1"/>
        <v>0</v>
      </c>
      <c r="G401" s="1" t="str">
        <f>IF(A401 = "", "", COUNTIF('Game Record'!G:G, A401))</f>
        <v/>
      </c>
      <c r="H401" s="6" t="str">
        <f>IF(A401 = "", "", COUNTIF('Game Record'!H:H, A401))</f>
        <v/>
      </c>
      <c r="I401" s="2">
        <f>IFERROR(__xludf.DUMMYFUNCTION("SUM(FILTER(TeamARecordSet, INDEX(TeamARecordSet, 0, 1) = A401)) + SUM(FILTER(TeamBRecordSet, INDEX(TeamBRecordSet, 0, 1) = A401))"),0.0)</f>
        <v>0</v>
      </c>
      <c r="J401" s="2">
        <f t="shared" si="2"/>
        <v>0</v>
      </c>
      <c r="K401" s="2" t="str">
        <f t="shared" si="3"/>
        <v/>
      </c>
    </row>
    <row r="402">
      <c r="A402" s="2"/>
      <c r="B402" s="7"/>
      <c r="D402" s="5" t="str">
        <f>IF(A402 = "", "", COUNTIFS('Game Record'!G:G, A402, 'Game Record'!E:E, C402))</f>
        <v/>
      </c>
      <c r="E402" s="6" t="str">
        <f>IF(A402 = "", "", COUNTIFS('Game Record'!H:H, A402, 'Game Record'!E:E, C402))</f>
        <v/>
      </c>
      <c r="F402" s="2">
        <f t="shared" si="1"/>
        <v>0</v>
      </c>
      <c r="G402" s="1" t="str">
        <f>IF(A402 = "", "", COUNTIF('Game Record'!G:G, A402))</f>
        <v/>
      </c>
      <c r="H402" s="6" t="str">
        <f>IF(A402 = "", "", COUNTIF('Game Record'!H:H, A402))</f>
        <v/>
      </c>
      <c r="I402" s="2">
        <f>IFERROR(__xludf.DUMMYFUNCTION("SUM(FILTER(TeamARecordSet, INDEX(TeamARecordSet, 0, 1) = A402)) + SUM(FILTER(TeamBRecordSet, INDEX(TeamBRecordSet, 0, 1) = A402))"),0.0)</f>
        <v>0</v>
      </c>
      <c r="J402" s="2">
        <f t="shared" si="2"/>
        <v>0</v>
      </c>
      <c r="K402" s="2" t="str">
        <f t="shared" si="3"/>
        <v/>
      </c>
    </row>
    <row r="403">
      <c r="A403" s="2"/>
      <c r="B403" s="7"/>
      <c r="D403" s="5" t="str">
        <f>IF(A403 = "", "", COUNTIFS('Game Record'!G:G, A403, 'Game Record'!E:E, C403))</f>
        <v/>
      </c>
      <c r="E403" s="6" t="str">
        <f>IF(A403 = "", "", COUNTIFS('Game Record'!H:H, A403, 'Game Record'!E:E, C403))</f>
        <v/>
      </c>
      <c r="F403" s="2">
        <f t="shared" si="1"/>
        <v>0</v>
      </c>
      <c r="G403" s="1" t="str">
        <f>IF(A403 = "", "", COUNTIF('Game Record'!G:G, A403))</f>
        <v/>
      </c>
      <c r="H403" s="6" t="str">
        <f>IF(A403 = "", "", COUNTIF('Game Record'!H:H, A403))</f>
        <v/>
      </c>
      <c r="I403" s="2">
        <f>IFERROR(__xludf.DUMMYFUNCTION("SUM(FILTER(TeamARecordSet, INDEX(TeamARecordSet, 0, 1) = A403)) + SUM(FILTER(TeamBRecordSet, INDEX(TeamBRecordSet, 0, 1) = A403))"),0.0)</f>
        <v>0</v>
      </c>
      <c r="J403" s="2">
        <f t="shared" si="2"/>
        <v>0</v>
      </c>
      <c r="K403" s="2" t="str">
        <f t="shared" si="3"/>
        <v/>
      </c>
    </row>
    <row r="404">
      <c r="A404" s="2"/>
      <c r="B404" s="7"/>
      <c r="D404" s="5" t="str">
        <f>IF(A404 = "", "", COUNTIFS('Game Record'!G:G, A404, 'Game Record'!E:E, C404))</f>
        <v/>
      </c>
      <c r="E404" s="6" t="str">
        <f>IF(A404 = "", "", COUNTIFS('Game Record'!H:H, A404, 'Game Record'!E:E, C404))</f>
        <v/>
      </c>
      <c r="F404" s="2">
        <f t="shared" si="1"/>
        <v>0</v>
      </c>
      <c r="G404" s="1" t="str">
        <f>IF(A404 = "", "", COUNTIF('Game Record'!G:G, A404))</f>
        <v/>
      </c>
      <c r="H404" s="6" t="str">
        <f>IF(A404 = "", "", COUNTIF('Game Record'!H:H, A404))</f>
        <v/>
      </c>
      <c r="I404" s="2">
        <f>IFERROR(__xludf.DUMMYFUNCTION("SUM(FILTER(TeamARecordSet, INDEX(TeamARecordSet, 0, 1) = A404)) + SUM(FILTER(TeamBRecordSet, INDEX(TeamBRecordSet, 0, 1) = A404))"),0.0)</f>
        <v>0</v>
      </c>
      <c r="J404" s="2">
        <f t="shared" si="2"/>
        <v>0</v>
      </c>
      <c r="K404" s="2" t="str">
        <f t="shared" si="3"/>
        <v/>
      </c>
    </row>
    <row r="405">
      <c r="A405" s="2"/>
      <c r="B405" s="7"/>
      <c r="D405" s="5" t="str">
        <f>IF(A405 = "", "", COUNTIFS('Game Record'!G:G, A405, 'Game Record'!E:E, C405))</f>
        <v/>
      </c>
      <c r="E405" s="6" t="str">
        <f>IF(A405 = "", "", COUNTIFS('Game Record'!H:H, A405, 'Game Record'!E:E, C405))</f>
        <v/>
      </c>
      <c r="F405" s="2">
        <f t="shared" si="1"/>
        <v>0</v>
      </c>
      <c r="G405" s="1" t="str">
        <f>IF(A405 = "", "", COUNTIF('Game Record'!G:G, A405))</f>
        <v/>
      </c>
      <c r="H405" s="6" t="str">
        <f>IF(A405 = "", "", COUNTIF('Game Record'!H:H, A405))</f>
        <v/>
      </c>
      <c r="I405" s="2">
        <f>IFERROR(__xludf.DUMMYFUNCTION("SUM(FILTER(TeamARecordSet, INDEX(TeamARecordSet, 0, 1) = A405)) + SUM(FILTER(TeamBRecordSet, INDEX(TeamBRecordSet, 0, 1) = A405))"),0.0)</f>
        <v>0</v>
      </c>
      <c r="J405" s="2">
        <f t="shared" si="2"/>
        <v>0</v>
      </c>
      <c r="K405" s="2" t="str">
        <f t="shared" si="3"/>
        <v/>
      </c>
    </row>
    <row r="406">
      <c r="A406" s="2"/>
      <c r="B406" s="7"/>
      <c r="D406" s="5" t="str">
        <f>IF(A406 = "", "", COUNTIFS('Game Record'!G:G, A406, 'Game Record'!E:E, C406))</f>
        <v/>
      </c>
      <c r="E406" s="6" t="str">
        <f>IF(A406 = "", "", COUNTIFS('Game Record'!H:H, A406, 'Game Record'!E:E, C406))</f>
        <v/>
      </c>
      <c r="F406" s="2">
        <f t="shared" si="1"/>
        <v>0</v>
      </c>
      <c r="G406" s="1" t="str">
        <f>IF(A406 = "", "", COUNTIF('Game Record'!G:G, A406))</f>
        <v/>
      </c>
      <c r="H406" s="6" t="str">
        <f>IF(A406 = "", "", COUNTIF('Game Record'!H:H, A406))</f>
        <v/>
      </c>
      <c r="I406" s="2">
        <f>IFERROR(__xludf.DUMMYFUNCTION("SUM(FILTER(TeamARecordSet, INDEX(TeamARecordSet, 0, 1) = A406)) + SUM(FILTER(TeamBRecordSet, INDEX(TeamBRecordSet, 0, 1) = A406))"),0.0)</f>
        <v>0</v>
      </c>
      <c r="J406" s="2">
        <f t="shared" si="2"/>
        <v>0</v>
      </c>
      <c r="K406" s="2" t="str">
        <f t="shared" si="3"/>
        <v/>
      </c>
    </row>
    <row r="407">
      <c r="A407" s="2"/>
      <c r="B407" s="7"/>
      <c r="D407" s="5" t="str">
        <f>IF(A407 = "", "", COUNTIFS('Game Record'!G:G, A407, 'Game Record'!E:E, C407))</f>
        <v/>
      </c>
      <c r="E407" s="6" t="str">
        <f>IF(A407 = "", "", COUNTIFS('Game Record'!H:H, A407, 'Game Record'!E:E, C407))</f>
        <v/>
      </c>
      <c r="F407" s="2">
        <f t="shared" si="1"/>
        <v>0</v>
      </c>
      <c r="G407" s="1" t="str">
        <f>IF(A407 = "", "", COUNTIF('Game Record'!G:G, A407))</f>
        <v/>
      </c>
      <c r="H407" s="6" t="str">
        <f>IF(A407 = "", "", COUNTIF('Game Record'!H:H, A407))</f>
        <v/>
      </c>
      <c r="I407" s="2">
        <f>IFERROR(__xludf.DUMMYFUNCTION("SUM(FILTER(TeamARecordSet, INDEX(TeamARecordSet, 0, 1) = A407)) + SUM(FILTER(TeamBRecordSet, INDEX(TeamBRecordSet, 0, 1) = A407))"),0.0)</f>
        <v>0</v>
      </c>
      <c r="J407" s="2">
        <f t="shared" si="2"/>
        <v>0</v>
      </c>
      <c r="K407" s="2" t="str">
        <f t="shared" si="3"/>
        <v/>
      </c>
    </row>
    <row r="408">
      <c r="A408" s="2"/>
      <c r="B408" s="7"/>
      <c r="D408" s="5" t="str">
        <f>IF(A408 = "", "", COUNTIFS('Game Record'!G:G, A408, 'Game Record'!E:E, C408))</f>
        <v/>
      </c>
      <c r="E408" s="6" t="str">
        <f>IF(A408 = "", "", COUNTIFS('Game Record'!H:H, A408, 'Game Record'!E:E, C408))</f>
        <v/>
      </c>
      <c r="F408" s="2">
        <f t="shared" si="1"/>
        <v>0</v>
      </c>
      <c r="G408" s="1" t="str">
        <f>IF(A408 = "", "", COUNTIF('Game Record'!G:G, A408))</f>
        <v/>
      </c>
      <c r="H408" s="6" t="str">
        <f>IF(A408 = "", "", COUNTIF('Game Record'!H:H, A408))</f>
        <v/>
      </c>
      <c r="I408" s="2">
        <f>IFERROR(__xludf.DUMMYFUNCTION("SUM(FILTER(TeamARecordSet, INDEX(TeamARecordSet, 0, 1) = A408)) + SUM(FILTER(TeamBRecordSet, INDEX(TeamBRecordSet, 0, 1) = A408))"),0.0)</f>
        <v>0</v>
      </c>
      <c r="J408" s="2">
        <f t="shared" si="2"/>
        <v>0</v>
      </c>
      <c r="K408" s="2" t="str">
        <f t="shared" si="3"/>
        <v/>
      </c>
    </row>
    <row r="409">
      <c r="A409" s="2"/>
      <c r="B409" s="7"/>
      <c r="D409" s="5" t="str">
        <f>IF(A409 = "", "", COUNTIFS('Game Record'!G:G, A409, 'Game Record'!E:E, C409))</f>
        <v/>
      </c>
      <c r="E409" s="6" t="str">
        <f>IF(A409 = "", "", COUNTIFS('Game Record'!H:H, A409, 'Game Record'!E:E, C409))</f>
        <v/>
      </c>
      <c r="F409" s="2">
        <f t="shared" si="1"/>
        <v>0</v>
      </c>
      <c r="G409" s="1" t="str">
        <f>IF(A409 = "", "", COUNTIF('Game Record'!G:G, A409))</f>
        <v/>
      </c>
      <c r="H409" s="6" t="str">
        <f>IF(A409 = "", "", COUNTIF('Game Record'!H:H, A409))</f>
        <v/>
      </c>
      <c r="I409" s="2">
        <f>IFERROR(__xludf.DUMMYFUNCTION("SUM(FILTER(TeamARecordSet, INDEX(TeamARecordSet, 0, 1) = A409)) + SUM(FILTER(TeamBRecordSet, INDEX(TeamBRecordSet, 0, 1) = A409))"),0.0)</f>
        <v>0</v>
      </c>
      <c r="J409" s="2">
        <f t="shared" si="2"/>
        <v>0</v>
      </c>
      <c r="K409" s="2" t="str">
        <f t="shared" si="3"/>
        <v/>
      </c>
    </row>
    <row r="410">
      <c r="A410" s="2"/>
      <c r="B410" s="7"/>
      <c r="D410" s="5" t="str">
        <f>IF(A410 = "", "", COUNTIFS('Game Record'!G:G, A410, 'Game Record'!E:E, C410))</f>
        <v/>
      </c>
      <c r="E410" s="6" t="str">
        <f>IF(A410 = "", "", COUNTIFS('Game Record'!H:H, A410, 'Game Record'!E:E, C410))</f>
        <v/>
      </c>
      <c r="F410" s="2">
        <f t="shared" si="1"/>
        <v>0</v>
      </c>
      <c r="G410" s="1" t="str">
        <f>IF(A410 = "", "", COUNTIF('Game Record'!G:G, A410))</f>
        <v/>
      </c>
      <c r="H410" s="6" t="str">
        <f>IF(A410 = "", "", COUNTIF('Game Record'!H:H, A410))</f>
        <v/>
      </c>
      <c r="I410" s="2">
        <f>IFERROR(__xludf.DUMMYFUNCTION("SUM(FILTER(TeamARecordSet, INDEX(TeamARecordSet, 0, 1) = A410)) + SUM(FILTER(TeamBRecordSet, INDEX(TeamBRecordSet, 0, 1) = A410))"),0.0)</f>
        <v>0</v>
      </c>
      <c r="J410" s="2">
        <f t="shared" si="2"/>
        <v>0</v>
      </c>
      <c r="K410" s="2" t="str">
        <f t="shared" si="3"/>
        <v/>
      </c>
    </row>
    <row r="411">
      <c r="A411" s="2"/>
      <c r="B411" s="7"/>
      <c r="D411" s="5" t="str">
        <f>IF(A411 = "", "", COUNTIFS('Game Record'!G:G, A411, 'Game Record'!E:E, C411))</f>
        <v/>
      </c>
      <c r="E411" s="6" t="str">
        <f>IF(A411 = "", "", COUNTIFS('Game Record'!H:H, A411, 'Game Record'!E:E, C411))</f>
        <v/>
      </c>
      <c r="F411" s="2">
        <f t="shared" si="1"/>
        <v>0</v>
      </c>
      <c r="G411" s="1" t="str">
        <f>IF(A411 = "", "", COUNTIF('Game Record'!G:G, A411))</f>
        <v/>
      </c>
      <c r="H411" s="6" t="str">
        <f>IF(A411 = "", "", COUNTIF('Game Record'!H:H, A411))</f>
        <v/>
      </c>
      <c r="I411" s="2">
        <f>IFERROR(__xludf.DUMMYFUNCTION("SUM(FILTER(TeamARecordSet, INDEX(TeamARecordSet, 0, 1) = A411)) + SUM(FILTER(TeamBRecordSet, INDEX(TeamBRecordSet, 0, 1) = A411))"),0.0)</f>
        <v>0</v>
      </c>
      <c r="J411" s="2">
        <f t="shared" si="2"/>
        <v>0</v>
      </c>
      <c r="K411" s="2" t="str">
        <f t="shared" si="3"/>
        <v/>
      </c>
    </row>
    <row r="412">
      <c r="A412" s="2"/>
      <c r="B412" s="7"/>
      <c r="D412" s="5" t="str">
        <f>IF(A412 = "", "", COUNTIFS('Game Record'!G:G, A412, 'Game Record'!E:E, C412))</f>
        <v/>
      </c>
      <c r="E412" s="6" t="str">
        <f>IF(A412 = "", "", COUNTIFS('Game Record'!H:H, A412, 'Game Record'!E:E, C412))</f>
        <v/>
      </c>
      <c r="F412" s="2">
        <f t="shared" si="1"/>
        <v>0</v>
      </c>
      <c r="G412" s="1" t="str">
        <f>IF(A412 = "", "", COUNTIF('Game Record'!G:G, A412))</f>
        <v/>
      </c>
      <c r="H412" s="6" t="str">
        <f>IF(A412 = "", "", COUNTIF('Game Record'!H:H, A412))</f>
        <v/>
      </c>
      <c r="I412" s="2">
        <f>IFERROR(__xludf.DUMMYFUNCTION("SUM(FILTER(TeamARecordSet, INDEX(TeamARecordSet, 0, 1) = A412)) + SUM(FILTER(TeamBRecordSet, INDEX(TeamBRecordSet, 0, 1) = A412))"),0.0)</f>
        <v>0</v>
      </c>
      <c r="J412" s="2">
        <f t="shared" si="2"/>
        <v>0</v>
      </c>
      <c r="K412" s="2" t="str">
        <f t="shared" si="3"/>
        <v/>
      </c>
    </row>
    <row r="413">
      <c r="A413" s="2"/>
      <c r="B413" s="7"/>
      <c r="D413" s="5" t="str">
        <f>IF(A413 = "", "", COUNTIFS('Game Record'!G:G, A413, 'Game Record'!E:E, C413))</f>
        <v/>
      </c>
      <c r="E413" s="6" t="str">
        <f>IF(A413 = "", "", COUNTIFS('Game Record'!H:H, A413, 'Game Record'!E:E, C413))</f>
        <v/>
      </c>
      <c r="F413" s="2">
        <f t="shared" si="1"/>
        <v>0</v>
      </c>
      <c r="G413" s="1" t="str">
        <f>IF(A413 = "", "", COUNTIF('Game Record'!G:G, A413))</f>
        <v/>
      </c>
      <c r="H413" s="6" t="str">
        <f>IF(A413 = "", "", COUNTIF('Game Record'!H:H, A413))</f>
        <v/>
      </c>
      <c r="I413" s="2">
        <f>IFERROR(__xludf.DUMMYFUNCTION("SUM(FILTER(TeamARecordSet, INDEX(TeamARecordSet, 0, 1) = A413)) + SUM(FILTER(TeamBRecordSet, INDEX(TeamBRecordSet, 0, 1) = A413))"),0.0)</f>
        <v>0</v>
      </c>
      <c r="J413" s="2">
        <f t="shared" si="2"/>
        <v>0</v>
      </c>
      <c r="K413" s="2" t="str">
        <f t="shared" si="3"/>
        <v/>
      </c>
    </row>
    <row r="414">
      <c r="A414" s="2"/>
      <c r="B414" s="7"/>
      <c r="D414" s="5" t="str">
        <f>IF(A414 = "", "", COUNTIFS('Game Record'!G:G, A414, 'Game Record'!E:E, C414))</f>
        <v/>
      </c>
      <c r="E414" s="6" t="str">
        <f>IF(A414 = "", "", COUNTIFS('Game Record'!H:H, A414, 'Game Record'!E:E, C414))</f>
        <v/>
      </c>
      <c r="F414" s="2">
        <f t="shared" si="1"/>
        <v>0</v>
      </c>
      <c r="G414" s="1" t="str">
        <f>IF(A414 = "", "", COUNTIF('Game Record'!G:G, A414))</f>
        <v/>
      </c>
      <c r="H414" s="6" t="str">
        <f>IF(A414 = "", "", COUNTIF('Game Record'!H:H, A414))</f>
        <v/>
      </c>
      <c r="I414" s="2">
        <f>IFERROR(__xludf.DUMMYFUNCTION("SUM(FILTER(TeamARecordSet, INDEX(TeamARecordSet, 0, 1) = A414)) + SUM(FILTER(TeamBRecordSet, INDEX(TeamBRecordSet, 0, 1) = A414))"),0.0)</f>
        <v>0</v>
      </c>
      <c r="J414" s="2">
        <f t="shared" si="2"/>
        <v>0</v>
      </c>
      <c r="K414" s="2" t="str">
        <f t="shared" si="3"/>
        <v/>
      </c>
    </row>
    <row r="415">
      <c r="A415" s="2"/>
      <c r="B415" s="7"/>
      <c r="D415" s="5" t="str">
        <f>IF(A415 = "", "", COUNTIFS('Game Record'!G:G, A415, 'Game Record'!E:E, C415))</f>
        <v/>
      </c>
      <c r="E415" s="6" t="str">
        <f>IF(A415 = "", "", COUNTIFS('Game Record'!H:H, A415, 'Game Record'!E:E, C415))</f>
        <v/>
      </c>
      <c r="F415" s="2">
        <f t="shared" si="1"/>
        <v>0</v>
      </c>
      <c r="G415" s="1" t="str">
        <f>IF(A415 = "", "", COUNTIF('Game Record'!G:G, A415))</f>
        <v/>
      </c>
      <c r="H415" s="6" t="str">
        <f>IF(A415 = "", "", COUNTIF('Game Record'!H:H, A415))</f>
        <v/>
      </c>
      <c r="I415" s="2">
        <f>IFERROR(__xludf.DUMMYFUNCTION("SUM(FILTER(TeamARecordSet, INDEX(TeamARecordSet, 0, 1) = A415)) + SUM(FILTER(TeamBRecordSet, INDEX(TeamBRecordSet, 0, 1) = A415))"),0.0)</f>
        <v>0</v>
      </c>
      <c r="J415" s="2">
        <f t="shared" si="2"/>
        <v>0</v>
      </c>
      <c r="K415" s="2" t="str">
        <f t="shared" si="3"/>
        <v/>
      </c>
    </row>
    <row r="416">
      <c r="A416" s="2"/>
      <c r="B416" s="7"/>
      <c r="D416" s="5" t="str">
        <f>IF(A416 = "", "", COUNTIFS('Game Record'!G:G, A416, 'Game Record'!E:E, C416))</f>
        <v/>
      </c>
      <c r="E416" s="6" t="str">
        <f>IF(A416 = "", "", COUNTIFS('Game Record'!H:H, A416, 'Game Record'!E:E, C416))</f>
        <v/>
      </c>
      <c r="F416" s="2">
        <f t="shared" si="1"/>
        <v>0</v>
      </c>
      <c r="G416" s="1" t="str">
        <f>IF(A416 = "", "", COUNTIF('Game Record'!G:G, A416))</f>
        <v/>
      </c>
      <c r="H416" s="6" t="str">
        <f>IF(A416 = "", "", COUNTIF('Game Record'!H:H, A416))</f>
        <v/>
      </c>
      <c r="I416" s="2">
        <f>IFERROR(__xludf.DUMMYFUNCTION("SUM(FILTER(TeamARecordSet, INDEX(TeamARecordSet, 0, 1) = A416)) + SUM(FILTER(TeamBRecordSet, INDEX(TeamBRecordSet, 0, 1) = A416))"),0.0)</f>
        <v>0</v>
      </c>
      <c r="J416" s="2">
        <f t="shared" si="2"/>
        <v>0</v>
      </c>
      <c r="K416" s="2" t="str">
        <f t="shared" si="3"/>
        <v/>
      </c>
    </row>
    <row r="417">
      <c r="A417" s="2"/>
      <c r="B417" s="7"/>
      <c r="D417" s="5" t="str">
        <f>IF(A417 = "", "", COUNTIFS('Game Record'!G:G, A417, 'Game Record'!E:E, C417))</f>
        <v/>
      </c>
      <c r="E417" s="6" t="str">
        <f>IF(A417 = "", "", COUNTIFS('Game Record'!H:H, A417, 'Game Record'!E:E, C417))</f>
        <v/>
      </c>
      <c r="F417" s="2">
        <f t="shared" si="1"/>
        <v>0</v>
      </c>
      <c r="G417" s="1" t="str">
        <f>IF(A417 = "", "", COUNTIF('Game Record'!G:G, A417))</f>
        <v/>
      </c>
      <c r="H417" s="6" t="str">
        <f>IF(A417 = "", "", COUNTIF('Game Record'!H:H, A417))</f>
        <v/>
      </c>
      <c r="I417" s="2">
        <f>IFERROR(__xludf.DUMMYFUNCTION("SUM(FILTER(TeamARecordSet, INDEX(TeamARecordSet, 0, 1) = A417)) + SUM(FILTER(TeamBRecordSet, INDEX(TeamBRecordSet, 0, 1) = A417))"),0.0)</f>
        <v>0</v>
      </c>
      <c r="J417" s="2">
        <f t="shared" si="2"/>
        <v>0</v>
      </c>
      <c r="K417" s="2" t="str">
        <f t="shared" si="3"/>
        <v/>
      </c>
    </row>
    <row r="418">
      <c r="A418" s="2"/>
      <c r="B418" s="7"/>
      <c r="D418" s="5" t="str">
        <f>IF(A418 = "", "", COUNTIFS('Game Record'!G:G, A418, 'Game Record'!E:E, C418))</f>
        <v/>
      </c>
      <c r="E418" s="6" t="str">
        <f>IF(A418 = "", "", COUNTIFS('Game Record'!H:H, A418, 'Game Record'!E:E, C418))</f>
        <v/>
      </c>
      <c r="F418" s="2">
        <f t="shared" si="1"/>
        <v>0</v>
      </c>
      <c r="G418" s="1" t="str">
        <f>IF(A418 = "", "", COUNTIF('Game Record'!G:G, A418))</f>
        <v/>
      </c>
      <c r="H418" s="6" t="str">
        <f>IF(A418 = "", "", COUNTIF('Game Record'!H:H, A418))</f>
        <v/>
      </c>
      <c r="I418" s="2">
        <f>IFERROR(__xludf.DUMMYFUNCTION("SUM(FILTER(TeamARecordSet, INDEX(TeamARecordSet, 0, 1) = A418)) + SUM(FILTER(TeamBRecordSet, INDEX(TeamBRecordSet, 0, 1) = A418))"),0.0)</f>
        <v>0</v>
      </c>
      <c r="J418" s="2">
        <f t="shared" si="2"/>
        <v>0</v>
      </c>
      <c r="K418" s="2" t="str">
        <f t="shared" si="3"/>
        <v/>
      </c>
    </row>
    <row r="419">
      <c r="A419" s="2"/>
      <c r="B419" s="7"/>
      <c r="D419" s="5" t="str">
        <f>IF(A419 = "", "", COUNTIFS('Game Record'!G:G, A419, 'Game Record'!E:E, C419))</f>
        <v/>
      </c>
      <c r="E419" s="6" t="str">
        <f>IF(A419 = "", "", COUNTIFS('Game Record'!H:H, A419, 'Game Record'!E:E, C419))</f>
        <v/>
      </c>
      <c r="F419" s="2">
        <f t="shared" si="1"/>
        <v>0</v>
      </c>
      <c r="G419" s="1" t="str">
        <f>IF(A419 = "", "", COUNTIF('Game Record'!G:G, A419))</f>
        <v/>
      </c>
      <c r="H419" s="6" t="str">
        <f>IF(A419 = "", "", COUNTIF('Game Record'!H:H, A419))</f>
        <v/>
      </c>
      <c r="I419" s="2">
        <f>IFERROR(__xludf.DUMMYFUNCTION("SUM(FILTER(TeamARecordSet, INDEX(TeamARecordSet, 0, 1) = A419)) + SUM(FILTER(TeamBRecordSet, INDEX(TeamBRecordSet, 0, 1) = A419))"),0.0)</f>
        <v>0</v>
      </c>
      <c r="J419" s="2">
        <f t="shared" si="2"/>
        <v>0</v>
      </c>
      <c r="K419" s="2" t="str">
        <f t="shared" si="3"/>
        <v/>
      </c>
    </row>
    <row r="420">
      <c r="A420" s="2"/>
      <c r="B420" s="7"/>
      <c r="D420" s="5" t="str">
        <f>IF(A420 = "", "", COUNTIFS('Game Record'!G:G, A420, 'Game Record'!E:E, C420))</f>
        <v/>
      </c>
      <c r="E420" s="6" t="str">
        <f>IF(A420 = "", "", COUNTIFS('Game Record'!H:H, A420, 'Game Record'!E:E, C420))</f>
        <v/>
      </c>
      <c r="F420" s="2">
        <f t="shared" si="1"/>
        <v>0</v>
      </c>
      <c r="G420" s="1" t="str">
        <f>IF(A420 = "", "", COUNTIF('Game Record'!G:G, A420))</f>
        <v/>
      </c>
      <c r="H420" s="6" t="str">
        <f>IF(A420 = "", "", COUNTIF('Game Record'!H:H, A420))</f>
        <v/>
      </c>
      <c r="I420" s="2">
        <f>IFERROR(__xludf.DUMMYFUNCTION("SUM(FILTER(TeamARecordSet, INDEX(TeamARecordSet, 0, 1) = A420)) + SUM(FILTER(TeamBRecordSet, INDEX(TeamBRecordSet, 0, 1) = A420))"),0.0)</f>
        <v>0</v>
      </c>
      <c r="J420" s="2">
        <f t="shared" si="2"/>
        <v>0</v>
      </c>
      <c r="K420" s="2" t="str">
        <f t="shared" si="3"/>
        <v/>
      </c>
    </row>
    <row r="421">
      <c r="A421" s="2"/>
      <c r="B421" s="7"/>
      <c r="D421" s="5" t="str">
        <f>IF(A421 = "", "", COUNTIFS('Game Record'!G:G, A421, 'Game Record'!E:E, C421))</f>
        <v/>
      </c>
      <c r="E421" s="6" t="str">
        <f>IF(A421 = "", "", COUNTIFS('Game Record'!H:H, A421, 'Game Record'!E:E, C421))</f>
        <v/>
      </c>
      <c r="F421" s="2">
        <f t="shared" si="1"/>
        <v>0</v>
      </c>
      <c r="G421" s="1" t="str">
        <f>IF(A421 = "", "", COUNTIF('Game Record'!G:G, A421))</f>
        <v/>
      </c>
      <c r="H421" s="6" t="str">
        <f>IF(A421 = "", "", COUNTIF('Game Record'!H:H, A421))</f>
        <v/>
      </c>
      <c r="I421" s="2">
        <f>IFERROR(__xludf.DUMMYFUNCTION("SUM(FILTER(TeamARecordSet, INDEX(TeamARecordSet, 0, 1) = A421)) + SUM(FILTER(TeamBRecordSet, INDEX(TeamBRecordSet, 0, 1) = A421))"),0.0)</f>
        <v>0</v>
      </c>
      <c r="J421" s="2">
        <f t="shared" si="2"/>
        <v>0</v>
      </c>
      <c r="K421" s="2" t="str">
        <f t="shared" si="3"/>
        <v/>
      </c>
    </row>
    <row r="422">
      <c r="A422" s="2"/>
      <c r="B422" s="7"/>
      <c r="D422" s="5" t="str">
        <f>IF(A422 = "", "", COUNTIFS('Game Record'!G:G, A422, 'Game Record'!E:E, C422))</f>
        <v/>
      </c>
      <c r="E422" s="6" t="str">
        <f>IF(A422 = "", "", COUNTIFS('Game Record'!H:H, A422, 'Game Record'!E:E, C422))</f>
        <v/>
      </c>
      <c r="F422" s="2">
        <f t="shared" si="1"/>
        <v>0</v>
      </c>
      <c r="G422" s="1" t="str">
        <f>IF(A422 = "", "", COUNTIF('Game Record'!G:G, A422))</f>
        <v/>
      </c>
      <c r="H422" s="6" t="str">
        <f>IF(A422 = "", "", COUNTIF('Game Record'!H:H, A422))</f>
        <v/>
      </c>
      <c r="I422" s="2">
        <f>IFERROR(__xludf.DUMMYFUNCTION("SUM(FILTER(TeamARecordSet, INDEX(TeamARecordSet, 0, 1) = A422)) + SUM(FILTER(TeamBRecordSet, INDEX(TeamBRecordSet, 0, 1) = A422))"),0.0)</f>
        <v>0</v>
      </c>
      <c r="J422" s="2">
        <f t="shared" si="2"/>
        <v>0</v>
      </c>
      <c r="K422" s="2" t="str">
        <f t="shared" si="3"/>
        <v/>
      </c>
    </row>
    <row r="423">
      <c r="A423" s="2"/>
      <c r="B423" s="7"/>
      <c r="D423" s="5" t="str">
        <f>IF(A423 = "", "", COUNTIFS('Game Record'!G:G, A423, 'Game Record'!E:E, C423))</f>
        <v/>
      </c>
      <c r="E423" s="6" t="str">
        <f>IF(A423 = "", "", COUNTIFS('Game Record'!H:H, A423, 'Game Record'!E:E, C423))</f>
        <v/>
      </c>
      <c r="F423" s="2">
        <f t="shared" si="1"/>
        <v>0</v>
      </c>
      <c r="G423" s="1" t="str">
        <f>IF(A423 = "", "", COUNTIF('Game Record'!G:G, A423))</f>
        <v/>
      </c>
      <c r="H423" s="6" t="str">
        <f>IF(A423 = "", "", COUNTIF('Game Record'!H:H, A423))</f>
        <v/>
      </c>
      <c r="I423" s="2">
        <f>IFERROR(__xludf.DUMMYFUNCTION("SUM(FILTER(TeamARecordSet, INDEX(TeamARecordSet, 0, 1) = A423)) + SUM(FILTER(TeamBRecordSet, INDEX(TeamBRecordSet, 0, 1) = A423))"),0.0)</f>
        <v>0</v>
      </c>
      <c r="J423" s="2">
        <f t="shared" si="2"/>
        <v>0</v>
      </c>
      <c r="K423" s="2" t="str">
        <f t="shared" si="3"/>
        <v/>
      </c>
    </row>
    <row r="424">
      <c r="A424" s="2"/>
      <c r="B424" s="7"/>
      <c r="D424" s="5" t="str">
        <f>IF(A424 = "", "", COUNTIFS('Game Record'!G:G, A424, 'Game Record'!E:E, C424))</f>
        <v/>
      </c>
      <c r="E424" s="6" t="str">
        <f>IF(A424 = "", "", COUNTIFS('Game Record'!H:H, A424, 'Game Record'!E:E, C424))</f>
        <v/>
      </c>
      <c r="F424" s="2">
        <f t="shared" si="1"/>
        <v>0</v>
      </c>
      <c r="G424" s="1" t="str">
        <f>IF(A424 = "", "", COUNTIF('Game Record'!G:G, A424))</f>
        <v/>
      </c>
      <c r="H424" s="6" t="str">
        <f>IF(A424 = "", "", COUNTIF('Game Record'!H:H, A424))</f>
        <v/>
      </c>
      <c r="I424" s="2">
        <f>IFERROR(__xludf.DUMMYFUNCTION("SUM(FILTER(TeamARecordSet, INDEX(TeamARecordSet, 0, 1) = A424)) + SUM(FILTER(TeamBRecordSet, INDEX(TeamBRecordSet, 0, 1) = A424))"),0.0)</f>
        <v>0</v>
      </c>
      <c r="J424" s="2">
        <f t="shared" si="2"/>
        <v>0</v>
      </c>
      <c r="K424" s="2" t="str">
        <f t="shared" si="3"/>
        <v/>
      </c>
    </row>
    <row r="425">
      <c r="A425" s="2"/>
      <c r="B425" s="7"/>
      <c r="D425" s="5" t="str">
        <f>IF(A425 = "", "", COUNTIFS('Game Record'!G:G, A425, 'Game Record'!E:E, C425))</f>
        <v/>
      </c>
      <c r="E425" s="6" t="str">
        <f>IF(A425 = "", "", COUNTIFS('Game Record'!H:H, A425, 'Game Record'!E:E, C425))</f>
        <v/>
      </c>
      <c r="F425" s="2">
        <f t="shared" si="1"/>
        <v>0</v>
      </c>
      <c r="G425" s="1" t="str">
        <f>IF(A425 = "", "", COUNTIF('Game Record'!G:G, A425))</f>
        <v/>
      </c>
      <c r="H425" s="6" t="str">
        <f>IF(A425 = "", "", COUNTIF('Game Record'!H:H, A425))</f>
        <v/>
      </c>
      <c r="I425" s="2">
        <f>IFERROR(__xludf.DUMMYFUNCTION("SUM(FILTER(TeamARecordSet, INDEX(TeamARecordSet, 0, 1) = A425)) + SUM(FILTER(TeamBRecordSet, INDEX(TeamBRecordSet, 0, 1) = A425))"),0.0)</f>
        <v>0</v>
      </c>
      <c r="J425" s="2">
        <f t="shared" si="2"/>
        <v>0</v>
      </c>
      <c r="K425" s="2" t="str">
        <f t="shared" si="3"/>
        <v/>
      </c>
    </row>
    <row r="426">
      <c r="A426" s="2"/>
      <c r="B426" s="7"/>
      <c r="D426" s="5" t="str">
        <f>IF(A426 = "", "", COUNTIFS('Game Record'!G:G, A426, 'Game Record'!E:E, C426))</f>
        <v/>
      </c>
      <c r="E426" s="6" t="str">
        <f>IF(A426 = "", "", COUNTIFS('Game Record'!H:H, A426, 'Game Record'!E:E, C426))</f>
        <v/>
      </c>
      <c r="F426" s="2">
        <f t="shared" si="1"/>
        <v>0</v>
      </c>
      <c r="G426" s="1" t="str">
        <f>IF(A426 = "", "", COUNTIF('Game Record'!G:G, A426))</f>
        <v/>
      </c>
      <c r="H426" s="6" t="str">
        <f>IF(A426 = "", "", COUNTIF('Game Record'!H:H, A426))</f>
        <v/>
      </c>
      <c r="I426" s="2">
        <f>IFERROR(__xludf.DUMMYFUNCTION("SUM(FILTER(TeamARecordSet, INDEX(TeamARecordSet, 0, 1) = A426)) + SUM(FILTER(TeamBRecordSet, INDEX(TeamBRecordSet, 0, 1) = A426))"),0.0)</f>
        <v>0</v>
      </c>
      <c r="J426" s="2">
        <f t="shared" si="2"/>
        <v>0</v>
      </c>
      <c r="K426" s="2" t="str">
        <f t="shared" si="3"/>
        <v/>
      </c>
    </row>
    <row r="427">
      <c r="A427" s="2"/>
      <c r="B427" s="7"/>
      <c r="D427" s="5" t="str">
        <f>IF(A427 = "", "", COUNTIFS('Game Record'!G:G, A427, 'Game Record'!E:E, C427))</f>
        <v/>
      </c>
      <c r="E427" s="6" t="str">
        <f>IF(A427 = "", "", COUNTIFS('Game Record'!H:H, A427, 'Game Record'!E:E, C427))</f>
        <v/>
      </c>
      <c r="F427" s="2">
        <f t="shared" si="1"/>
        <v>0</v>
      </c>
      <c r="G427" s="1" t="str">
        <f>IF(A427 = "", "", COUNTIF('Game Record'!G:G, A427))</f>
        <v/>
      </c>
      <c r="H427" s="6" t="str">
        <f>IF(A427 = "", "", COUNTIF('Game Record'!H:H, A427))</f>
        <v/>
      </c>
      <c r="I427" s="2">
        <f>IFERROR(__xludf.DUMMYFUNCTION("SUM(FILTER(TeamARecordSet, INDEX(TeamARecordSet, 0, 1) = A427)) + SUM(FILTER(TeamBRecordSet, INDEX(TeamBRecordSet, 0, 1) = A427))"),0.0)</f>
        <v>0</v>
      </c>
      <c r="J427" s="2">
        <f t="shared" si="2"/>
        <v>0</v>
      </c>
      <c r="K427" s="2" t="str">
        <f t="shared" si="3"/>
        <v/>
      </c>
    </row>
    <row r="428">
      <c r="A428" s="2"/>
      <c r="B428" s="7"/>
      <c r="D428" s="5" t="str">
        <f>IF(A428 = "", "", COUNTIFS('Game Record'!G:G, A428, 'Game Record'!E:E, C428))</f>
        <v/>
      </c>
      <c r="E428" s="6" t="str">
        <f>IF(A428 = "", "", COUNTIFS('Game Record'!H:H, A428, 'Game Record'!E:E, C428))</f>
        <v/>
      </c>
      <c r="F428" s="2">
        <f t="shared" si="1"/>
        <v>0</v>
      </c>
      <c r="G428" s="1" t="str">
        <f>IF(A428 = "", "", COUNTIF('Game Record'!G:G, A428))</f>
        <v/>
      </c>
      <c r="H428" s="6" t="str">
        <f>IF(A428 = "", "", COUNTIF('Game Record'!H:H, A428))</f>
        <v/>
      </c>
      <c r="I428" s="2">
        <f>IFERROR(__xludf.DUMMYFUNCTION("SUM(FILTER(TeamARecordSet, INDEX(TeamARecordSet, 0, 1) = A428)) + SUM(FILTER(TeamBRecordSet, INDEX(TeamBRecordSet, 0, 1) = A428))"),0.0)</f>
        <v>0</v>
      </c>
      <c r="J428" s="2">
        <f t="shared" si="2"/>
        <v>0</v>
      </c>
      <c r="K428" s="2" t="str">
        <f t="shared" si="3"/>
        <v/>
      </c>
    </row>
    <row r="429">
      <c r="A429" s="2"/>
      <c r="B429" s="7"/>
      <c r="D429" s="5" t="str">
        <f>IF(A429 = "", "", COUNTIFS('Game Record'!G:G, A429, 'Game Record'!E:E, C429))</f>
        <v/>
      </c>
      <c r="E429" s="6" t="str">
        <f>IF(A429 = "", "", COUNTIFS('Game Record'!H:H, A429, 'Game Record'!E:E, C429))</f>
        <v/>
      </c>
      <c r="F429" s="2">
        <f t="shared" si="1"/>
        <v>0</v>
      </c>
      <c r="G429" s="1" t="str">
        <f>IF(A429 = "", "", COUNTIF('Game Record'!G:G, A429))</f>
        <v/>
      </c>
      <c r="H429" s="6" t="str">
        <f>IF(A429 = "", "", COUNTIF('Game Record'!H:H, A429))</f>
        <v/>
      </c>
      <c r="I429" s="2">
        <f>IFERROR(__xludf.DUMMYFUNCTION("SUM(FILTER(TeamARecordSet, INDEX(TeamARecordSet, 0, 1) = A429)) + SUM(FILTER(TeamBRecordSet, INDEX(TeamBRecordSet, 0, 1) = A429))"),0.0)</f>
        <v>0</v>
      </c>
      <c r="J429" s="2">
        <f t="shared" si="2"/>
        <v>0</v>
      </c>
      <c r="K429" s="2" t="str">
        <f t="shared" si="3"/>
        <v/>
      </c>
    </row>
    <row r="430">
      <c r="A430" s="2"/>
      <c r="B430" s="7"/>
      <c r="D430" s="5" t="str">
        <f>IF(A430 = "", "", COUNTIFS('Game Record'!G:G, A430, 'Game Record'!E:E, C430))</f>
        <v/>
      </c>
      <c r="E430" s="6" t="str">
        <f>IF(A430 = "", "", COUNTIFS('Game Record'!H:H, A430, 'Game Record'!E:E, C430))</f>
        <v/>
      </c>
      <c r="F430" s="2">
        <f t="shared" si="1"/>
        <v>0</v>
      </c>
      <c r="G430" s="1" t="str">
        <f>IF(A430 = "", "", COUNTIF('Game Record'!G:G, A430))</f>
        <v/>
      </c>
      <c r="H430" s="6" t="str">
        <f>IF(A430 = "", "", COUNTIF('Game Record'!H:H, A430))</f>
        <v/>
      </c>
      <c r="I430" s="2">
        <f>IFERROR(__xludf.DUMMYFUNCTION("SUM(FILTER(TeamARecordSet, INDEX(TeamARecordSet, 0, 1) = A430)) + SUM(FILTER(TeamBRecordSet, INDEX(TeamBRecordSet, 0, 1) = A430))"),0.0)</f>
        <v>0</v>
      </c>
      <c r="J430" s="2">
        <f t="shared" si="2"/>
        <v>0</v>
      </c>
      <c r="K430" s="2" t="str">
        <f t="shared" si="3"/>
        <v/>
      </c>
    </row>
    <row r="431">
      <c r="A431" s="2"/>
      <c r="B431" s="7"/>
      <c r="D431" s="5" t="str">
        <f>IF(A431 = "", "", COUNTIFS('Game Record'!G:G, A431, 'Game Record'!E:E, C431))</f>
        <v/>
      </c>
      <c r="E431" s="6" t="str">
        <f>IF(A431 = "", "", COUNTIFS('Game Record'!H:H, A431, 'Game Record'!E:E, C431))</f>
        <v/>
      </c>
      <c r="F431" s="2">
        <f t="shared" si="1"/>
        <v>0</v>
      </c>
      <c r="G431" s="1" t="str">
        <f>IF(A431 = "", "", COUNTIF('Game Record'!G:G, A431))</f>
        <v/>
      </c>
      <c r="H431" s="6" t="str">
        <f>IF(A431 = "", "", COUNTIF('Game Record'!H:H, A431))</f>
        <v/>
      </c>
      <c r="I431" s="2">
        <f>IFERROR(__xludf.DUMMYFUNCTION("SUM(FILTER(TeamARecordSet, INDEX(TeamARecordSet, 0, 1) = A431)) + SUM(FILTER(TeamBRecordSet, INDEX(TeamBRecordSet, 0, 1) = A431))"),0.0)</f>
        <v>0</v>
      </c>
      <c r="J431" s="2">
        <f t="shared" si="2"/>
        <v>0</v>
      </c>
      <c r="K431" s="2" t="str">
        <f t="shared" si="3"/>
        <v/>
      </c>
    </row>
    <row r="432">
      <c r="A432" s="2"/>
      <c r="B432" s="7"/>
      <c r="D432" s="5" t="str">
        <f>IF(A432 = "", "", COUNTIFS('Game Record'!G:G, A432, 'Game Record'!E:E, C432))</f>
        <v/>
      </c>
      <c r="E432" s="6" t="str">
        <f>IF(A432 = "", "", COUNTIFS('Game Record'!H:H, A432, 'Game Record'!E:E, C432))</f>
        <v/>
      </c>
      <c r="F432" s="2">
        <f t="shared" si="1"/>
        <v>0</v>
      </c>
      <c r="G432" s="1" t="str">
        <f>IF(A432 = "", "", COUNTIF('Game Record'!G:G, A432))</f>
        <v/>
      </c>
      <c r="H432" s="6" t="str">
        <f>IF(A432 = "", "", COUNTIF('Game Record'!H:H, A432))</f>
        <v/>
      </c>
      <c r="I432" s="2">
        <f>IFERROR(__xludf.DUMMYFUNCTION("SUM(FILTER(TeamARecordSet, INDEX(TeamARecordSet, 0, 1) = A432)) + SUM(FILTER(TeamBRecordSet, INDEX(TeamBRecordSet, 0, 1) = A432))"),0.0)</f>
        <v>0</v>
      </c>
      <c r="J432" s="2">
        <f t="shared" si="2"/>
        <v>0</v>
      </c>
      <c r="K432" s="2" t="str">
        <f t="shared" si="3"/>
        <v/>
      </c>
    </row>
    <row r="433">
      <c r="A433" s="2"/>
      <c r="B433" s="7"/>
      <c r="D433" s="5" t="str">
        <f>IF(A433 = "", "", COUNTIFS('Game Record'!G:G, A433, 'Game Record'!E:E, C433))</f>
        <v/>
      </c>
      <c r="E433" s="6" t="str">
        <f>IF(A433 = "", "", COUNTIFS('Game Record'!H:H, A433, 'Game Record'!E:E, C433))</f>
        <v/>
      </c>
      <c r="F433" s="2">
        <f t="shared" si="1"/>
        <v>0</v>
      </c>
      <c r="G433" s="1" t="str">
        <f>IF(A433 = "", "", COUNTIF('Game Record'!G:G, A433))</f>
        <v/>
      </c>
      <c r="H433" s="6" t="str">
        <f>IF(A433 = "", "", COUNTIF('Game Record'!H:H, A433))</f>
        <v/>
      </c>
      <c r="I433" s="2">
        <f>IFERROR(__xludf.DUMMYFUNCTION("SUM(FILTER(TeamARecordSet, INDEX(TeamARecordSet, 0, 1) = A433)) + SUM(FILTER(TeamBRecordSet, INDEX(TeamBRecordSet, 0, 1) = A433))"),0.0)</f>
        <v>0</v>
      </c>
      <c r="J433" s="2">
        <f t="shared" si="2"/>
        <v>0</v>
      </c>
      <c r="K433" s="2" t="str">
        <f t="shared" si="3"/>
        <v/>
      </c>
    </row>
    <row r="434">
      <c r="A434" s="2"/>
      <c r="B434" s="7"/>
      <c r="D434" s="5" t="str">
        <f>IF(A434 = "", "", COUNTIFS('Game Record'!G:G, A434, 'Game Record'!E:E, C434))</f>
        <v/>
      </c>
      <c r="E434" s="6" t="str">
        <f>IF(A434 = "", "", COUNTIFS('Game Record'!H:H, A434, 'Game Record'!E:E, C434))</f>
        <v/>
      </c>
      <c r="F434" s="2">
        <f t="shared" si="1"/>
        <v>0</v>
      </c>
      <c r="G434" s="1" t="str">
        <f>IF(A434 = "", "", COUNTIF('Game Record'!G:G, A434))</f>
        <v/>
      </c>
      <c r="H434" s="6" t="str">
        <f>IF(A434 = "", "", COUNTIF('Game Record'!H:H, A434))</f>
        <v/>
      </c>
      <c r="I434" s="2">
        <f>IFERROR(__xludf.DUMMYFUNCTION("SUM(FILTER(TeamARecordSet, INDEX(TeamARecordSet, 0, 1) = A434)) + SUM(FILTER(TeamBRecordSet, INDEX(TeamBRecordSet, 0, 1) = A434))"),0.0)</f>
        <v>0</v>
      </c>
      <c r="J434" s="2">
        <f t="shared" si="2"/>
        <v>0</v>
      </c>
      <c r="K434" s="2" t="str">
        <f t="shared" si="3"/>
        <v/>
      </c>
    </row>
    <row r="435">
      <c r="A435" s="2"/>
      <c r="B435" s="7"/>
      <c r="D435" s="5" t="str">
        <f>IF(A435 = "", "", COUNTIFS('Game Record'!G:G, A435, 'Game Record'!E:E, C435))</f>
        <v/>
      </c>
      <c r="E435" s="6" t="str">
        <f>IF(A435 = "", "", COUNTIFS('Game Record'!H:H, A435, 'Game Record'!E:E, C435))</f>
        <v/>
      </c>
      <c r="F435" s="2">
        <f t="shared" si="1"/>
        <v>0</v>
      </c>
      <c r="G435" s="1" t="str">
        <f>IF(A435 = "", "", COUNTIF('Game Record'!G:G, A435))</f>
        <v/>
      </c>
      <c r="H435" s="6" t="str">
        <f>IF(A435 = "", "", COUNTIF('Game Record'!H:H, A435))</f>
        <v/>
      </c>
      <c r="I435" s="2">
        <f>IFERROR(__xludf.DUMMYFUNCTION("SUM(FILTER(TeamARecordSet, INDEX(TeamARecordSet, 0, 1) = A435)) + SUM(FILTER(TeamBRecordSet, INDEX(TeamBRecordSet, 0, 1) = A435))"),0.0)</f>
        <v>0</v>
      </c>
      <c r="J435" s="2">
        <f t="shared" si="2"/>
        <v>0</v>
      </c>
      <c r="K435" s="2" t="str">
        <f t="shared" si="3"/>
        <v/>
      </c>
    </row>
    <row r="436">
      <c r="A436" s="2"/>
      <c r="B436" s="7"/>
      <c r="D436" s="5" t="str">
        <f>IF(A436 = "", "", COUNTIFS('Game Record'!G:G, A436, 'Game Record'!E:E, C436))</f>
        <v/>
      </c>
      <c r="E436" s="6" t="str">
        <f>IF(A436 = "", "", COUNTIFS('Game Record'!H:H, A436, 'Game Record'!E:E, C436))</f>
        <v/>
      </c>
      <c r="F436" s="2">
        <f t="shared" si="1"/>
        <v>0</v>
      </c>
      <c r="G436" s="1" t="str">
        <f>IF(A436 = "", "", COUNTIF('Game Record'!G:G, A436))</f>
        <v/>
      </c>
      <c r="H436" s="6" t="str">
        <f>IF(A436 = "", "", COUNTIF('Game Record'!H:H, A436))</f>
        <v/>
      </c>
      <c r="I436" s="2">
        <f>IFERROR(__xludf.DUMMYFUNCTION("SUM(FILTER(TeamARecordSet, INDEX(TeamARecordSet, 0, 1) = A436)) + SUM(FILTER(TeamBRecordSet, INDEX(TeamBRecordSet, 0, 1) = A436))"),0.0)</f>
        <v>0</v>
      </c>
      <c r="J436" s="2">
        <f t="shared" si="2"/>
        <v>0</v>
      </c>
      <c r="K436" s="2" t="str">
        <f t="shared" si="3"/>
        <v/>
      </c>
    </row>
    <row r="437">
      <c r="A437" s="2"/>
      <c r="B437" s="7"/>
      <c r="D437" s="5" t="str">
        <f>IF(A437 = "", "", COUNTIFS('Game Record'!G:G, A437, 'Game Record'!E:E, C437))</f>
        <v/>
      </c>
      <c r="E437" s="6" t="str">
        <f>IF(A437 = "", "", COUNTIFS('Game Record'!H:H, A437, 'Game Record'!E:E, C437))</f>
        <v/>
      </c>
      <c r="F437" s="2">
        <f t="shared" si="1"/>
        <v>0</v>
      </c>
      <c r="G437" s="1" t="str">
        <f>IF(A437 = "", "", COUNTIF('Game Record'!G:G, A437))</f>
        <v/>
      </c>
      <c r="H437" s="6" t="str">
        <f>IF(A437 = "", "", COUNTIF('Game Record'!H:H, A437))</f>
        <v/>
      </c>
      <c r="I437" s="2">
        <f>IFERROR(__xludf.DUMMYFUNCTION("SUM(FILTER(TeamARecordSet, INDEX(TeamARecordSet, 0, 1) = A437)) + SUM(FILTER(TeamBRecordSet, INDEX(TeamBRecordSet, 0, 1) = A437))"),0.0)</f>
        <v>0</v>
      </c>
      <c r="J437" s="2">
        <f t="shared" si="2"/>
        <v>0</v>
      </c>
      <c r="K437" s="2" t="str">
        <f t="shared" si="3"/>
        <v/>
      </c>
    </row>
    <row r="438">
      <c r="A438" s="2"/>
      <c r="B438" s="7"/>
      <c r="D438" s="5" t="str">
        <f>IF(A438 = "", "", COUNTIFS('Game Record'!G:G, A438, 'Game Record'!E:E, C438))</f>
        <v/>
      </c>
      <c r="E438" s="6" t="str">
        <f>IF(A438 = "", "", COUNTIFS('Game Record'!H:H, A438, 'Game Record'!E:E, C438))</f>
        <v/>
      </c>
      <c r="F438" s="2">
        <f t="shared" si="1"/>
        <v>0</v>
      </c>
      <c r="G438" s="1" t="str">
        <f>IF(A438 = "", "", COUNTIF('Game Record'!G:G, A438))</f>
        <v/>
      </c>
      <c r="H438" s="6" t="str">
        <f>IF(A438 = "", "", COUNTIF('Game Record'!H:H, A438))</f>
        <v/>
      </c>
      <c r="I438" s="2">
        <f>IFERROR(__xludf.DUMMYFUNCTION("SUM(FILTER(TeamARecordSet, INDEX(TeamARecordSet, 0, 1) = A438)) + SUM(FILTER(TeamBRecordSet, INDEX(TeamBRecordSet, 0, 1) = A438))"),0.0)</f>
        <v>0</v>
      </c>
      <c r="J438" s="2">
        <f t="shared" si="2"/>
        <v>0</v>
      </c>
      <c r="K438" s="2" t="str">
        <f t="shared" si="3"/>
        <v/>
      </c>
    </row>
    <row r="439">
      <c r="A439" s="2"/>
      <c r="B439" s="7"/>
      <c r="D439" s="5" t="str">
        <f>IF(A439 = "", "", COUNTIFS('Game Record'!G:G, A439, 'Game Record'!E:E, C439))</f>
        <v/>
      </c>
      <c r="E439" s="6" t="str">
        <f>IF(A439 = "", "", COUNTIFS('Game Record'!H:H, A439, 'Game Record'!E:E, C439))</f>
        <v/>
      </c>
      <c r="F439" s="2">
        <f t="shared" si="1"/>
        <v>0</v>
      </c>
      <c r="G439" s="1" t="str">
        <f>IF(A439 = "", "", COUNTIF('Game Record'!G:G, A439))</f>
        <v/>
      </c>
      <c r="H439" s="6" t="str">
        <f>IF(A439 = "", "", COUNTIF('Game Record'!H:H, A439))</f>
        <v/>
      </c>
      <c r="I439" s="2">
        <f>IFERROR(__xludf.DUMMYFUNCTION("SUM(FILTER(TeamARecordSet, INDEX(TeamARecordSet, 0, 1) = A439)) + SUM(FILTER(TeamBRecordSet, INDEX(TeamBRecordSet, 0, 1) = A439))"),0.0)</f>
        <v>0</v>
      </c>
      <c r="J439" s="2">
        <f t="shared" si="2"/>
        <v>0</v>
      </c>
      <c r="K439" s="2" t="str">
        <f t="shared" si="3"/>
        <v/>
      </c>
    </row>
    <row r="440">
      <c r="A440" s="2"/>
      <c r="B440" s="7"/>
      <c r="D440" s="5" t="str">
        <f>IF(A440 = "", "", COUNTIFS('Game Record'!G:G, A440, 'Game Record'!E:E, C440))</f>
        <v/>
      </c>
      <c r="E440" s="6" t="str">
        <f>IF(A440 = "", "", COUNTIFS('Game Record'!H:H, A440, 'Game Record'!E:E, C440))</f>
        <v/>
      </c>
      <c r="F440" s="2">
        <f t="shared" si="1"/>
        <v>0</v>
      </c>
      <c r="G440" s="1" t="str">
        <f>IF(A440 = "", "", COUNTIF('Game Record'!G:G, A440))</f>
        <v/>
      </c>
      <c r="H440" s="6" t="str">
        <f>IF(A440 = "", "", COUNTIF('Game Record'!H:H, A440))</f>
        <v/>
      </c>
      <c r="I440" s="2">
        <f>IFERROR(__xludf.DUMMYFUNCTION("SUM(FILTER(TeamARecordSet, INDEX(TeamARecordSet, 0, 1) = A440)) + SUM(FILTER(TeamBRecordSet, INDEX(TeamBRecordSet, 0, 1) = A440))"),0.0)</f>
        <v>0</v>
      </c>
      <c r="J440" s="2">
        <f t="shared" si="2"/>
        <v>0</v>
      </c>
      <c r="K440" s="2" t="str">
        <f t="shared" si="3"/>
        <v/>
      </c>
    </row>
    <row r="441">
      <c r="A441" s="2"/>
      <c r="B441" s="7"/>
      <c r="D441" s="5" t="str">
        <f>IF(A441 = "", "", COUNTIFS('Game Record'!G:G, A441, 'Game Record'!E:E, C441))</f>
        <v/>
      </c>
      <c r="E441" s="6" t="str">
        <f>IF(A441 = "", "", COUNTIFS('Game Record'!H:H, A441, 'Game Record'!E:E, C441))</f>
        <v/>
      </c>
      <c r="F441" s="2">
        <f t="shared" si="1"/>
        <v>0</v>
      </c>
      <c r="G441" s="1" t="str">
        <f>IF(A441 = "", "", COUNTIF('Game Record'!G:G, A441))</f>
        <v/>
      </c>
      <c r="H441" s="6" t="str">
        <f>IF(A441 = "", "", COUNTIF('Game Record'!H:H, A441))</f>
        <v/>
      </c>
      <c r="I441" s="2">
        <f>IFERROR(__xludf.DUMMYFUNCTION("SUM(FILTER(TeamARecordSet, INDEX(TeamARecordSet, 0, 1) = A441)) + SUM(FILTER(TeamBRecordSet, INDEX(TeamBRecordSet, 0, 1) = A441))"),0.0)</f>
        <v>0</v>
      </c>
      <c r="J441" s="2">
        <f t="shared" si="2"/>
        <v>0</v>
      </c>
      <c r="K441" s="2" t="str">
        <f t="shared" si="3"/>
        <v/>
      </c>
    </row>
    <row r="442">
      <c r="A442" s="2"/>
      <c r="B442" s="7"/>
      <c r="D442" s="5" t="str">
        <f>IF(A442 = "", "", COUNTIFS('Game Record'!G:G, A442, 'Game Record'!E:E, C442))</f>
        <v/>
      </c>
      <c r="E442" s="6" t="str">
        <f>IF(A442 = "", "", COUNTIFS('Game Record'!H:H, A442, 'Game Record'!E:E, C442))</f>
        <v/>
      </c>
      <c r="F442" s="2">
        <f t="shared" si="1"/>
        <v>0</v>
      </c>
      <c r="G442" s="1" t="str">
        <f>IF(A442 = "", "", COUNTIF('Game Record'!G:G, A442))</f>
        <v/>
      </c>
      <c r="H442" s="6" t="str">
        <f>IF(A442 = "", "", COUNTIF('Game Record'!H:H, A442))</f>
        <v/>
      </c>
      <c r="I442" s="2">
        <f>IFERROR(__xludf.DUMMYFUNCTION("SUM(FILTER(TeamARecordSet, INDEX(TeamARecordSet, 0, 1) = A442)) + SUM(FILTER(TeamBRecordSet, INDEX(TeamBRecordSet, 0, 1) = A442))"),0.0)</f>
        <v>0</v>
      </c>
      <c r="J442" s="2">
        <f t="shared" si="2"/>
        <v>0</v>
      </c>
      <c r="K442" s="2" t="str">
        <f t="shared" si="3"/>
        <v/>
      </c>
    </row>
    <row r="443">
      <c r="A443" s="2"/>
      <c r="B443" s="7"/>
      <c r="D443" s="5" t="str">
        <f>IF(A443 = "", "", COUNTIFS('Game Record'!G:G, A443, 'Game Record'!E:E, C443))</f>
        <v/>
      </c>
      <c r="E443" s="6" t="str">
        <f>IF(A443 = "", "", COUNTIFS('Game Record'!H:H, A443, 'Game Record'!E:E, C443))</f>
        <v/>
      </c>
      <c r="F443" s="2">
        <f t="shared" si="1"/>
        <v>0</v>
      </c>
      <c r="G443" s="1" t="str">
        <f>IF(A443 = "", "", COUNTIF('Game Record'!G:G, A443))</f>
        <v/>
      </c>
      <c r="H443" s="6" t="str">
        <f>IF(A443 = "", "", COUNTIF('Game Record'!H:H, A443))</f>
        <v/>
      </c>
      <c r="I443" s="2">
        <f>IFERROR(__xludf.DUMMYFUNCTION("SUM(FILTER(TeamARecordSet, INDEX(TeamARecordSet, 0, 1) = A443)) + SUM(FILTER(TeamBRecordSet, INDEX(TeamBRecordSet, 0, 1) = A443))"),0.0)</f>
        <v>0</v>
      </c>
      <c r="J443" s="2">
        <f t="shared" si="2"/>
        <v>0</v>
      </c>
      <c r="K443" s="2" t="str">
        <f t="shared" si="3"/>
        <v/>
      </c>
    </row>
    <row r="444">
      <c r="A444" s="2"/>
      <c r="B444" s="7"/>
      <c r="D444" s="5" t="str">
        <f>IF(A444 = "", "", COUNTIFS('Game Record'!G:G, A444, 'Game Record'!E:E, C444))</f>
        <v/>
      </c>
      <c r="E444" s="6" t="str">
        <f>IF(A444 = "", "", COUNTIFS('Game Record'!H:H, A444, 'Game Record'!E:E, C444))</f>
        <v/>
      </c>
      <c r="F444" s="2">
        <f t="shared" si="1"/>
        <v>0</v>
      </c>
      <c r="G444" s="1" t="str">
        <f>IF(A444 = "", "", COUNTIF('Game Record'!G:G, A444))</f>
        <v/>
      </c>
      <c r="H444" s="6" t="str">
        <f>IF(A444 = "", "", COUNTIF('Game Record'!H:H, A444))</f>
        <v/>
      </c>
      <c r="I444" s="2">
        <f>IFERROR(__xludf.DUMMYFUNCTION("SUM(FILTER(TeamARecordSet, INDEX(TeamARecordSet, 0, 1) = A444)) + SUM(FILTER(TeamBRecordSet, INDEX(TeamBRecordSet, 0, 1) = A444))"),0.0)</f>
        <v>0</v>
      </c>
      <c r="J444" s="2">
        <f t="shared" si="2"/>
        <v>0</v>
      </c>
      <c r="K444" s="2" t="str">
        <f t="shared" si="3"/>
        <v/>
      </c>
    </row>
    <row r="445">
      <c r="A445" s="2"/>
      <c r="B445" s="7"/>
      <c r="D445" s="5" t="str">
        <f>IF(A445 = "", "", COUNTIFS('Game Record'!G:G, A445, 'Game Record'!E:E, C445))</f>
        <v/>
      </c>
      <c r="E445" s="6" t="str">
        <f>IF(A445 = "", "", COUNTIFS('Game Record'!H:H, A445, 'Game Record'!E:E, C445))</f>
        <v/>
      </c>
      <c r="F445" s="2">
        <f t="shared" si="1"/>
        <v>0</v>
      </c>
      <c r="G445" s="1" t="str">
        <f>IF(A445 = "", "", COUNTIF('Game Record'!G:G, A445))</f>
        <v/>
      </c>
      <c r="H445" s="6" t="str">
        <f>IF(A445 = "", "", COUNTIF('Game Record'!H:H, A445))</f>
        <v/>
      </c>
      <c r="I445" s="2">
        <f>IFERROR(__xludf.DUMMYFUNCTION("SUM(FILTER(TeamARecordSet, INDEX(TeamARecordSet, 0, 1) = A445)) + SUM(FILTER(TeamBRecordSet, INDEX(TeamBRecordSet, 0, 1) = A445))"),0.0)</f>
        <v>0</v>
      </c>
      <c r="J445" s="2">
        <f t="shared" si="2"/>
        <v>0</v>
      </c>
      <c r="K445" s="2" t="str">
        <f t="shared" si="3"/>
        <v/>
      </c>
    </row>
    <row r="446">
      <c r="A446" s="2"/>
      <c r="B446" s="7"/>
      <c r="D446" s="5" t="str">
        <f>IF(A446 = "", "", COUNTIFS('Game Record'!G:G, A446, 'Game Record'!E:E, C446))</f>
        <v/>
      </c>
      <c r="E446" s="6" t="str">
        <f>IF(A446 = "", "", COUNTIFS('Game Record'!H:H, A446, 'Game Record'!E:E, C446))</f>
        <v/>
      </c>
      <c r="F446" s="2">
        <f t="shared" si="1"/>
        <v>0</v>
      </c>
      <c r="G446" s="1" t="str">
        <f>IF(A446 = "", "", COUNTIF('Game Record'!G:G, A446))</f>
        <v/>
      </c>
      <c r="H446" s="6" t="str">
        <f>IF(A446 = "", "", COUNTIF('Game Record'!H:H, A446))</f>
        <v/>
      </c>
      <c r="I446" s="2">
        <f>IFERROR(__xludf.DUMMYFUNCTION("SUM(FILTER(TeamARecordSet, INDEX(TeamARecordSet, 0, 1) = A446)) + SUM(FILTER(TeamBRecordSet, INDEX(TeamBRecordSet, 0, 1) = A446))"),0.0)</f>
        <v>0</v>
      </c>
      <c r="J446" s="2">
        <f t="shared" si="2"/>
        <v>0</v>
      </c>
      <c r="K446" s="2" t="str">
        <f t="shared" si="3"/>
        <v/>
      </c>
    </row>
    <row r="447">
      <c r="A447" s="2"/>
      <c r="B447" s="7"/>
      <c r="D447" s="5" t="str">
        <f>IF(A447 = "", "", COUNTIFS('Game Record'!G:G, A447, 'Game Record'!E:E, C447))</f>
        <v/>
      </c>
      <c r="E447" s="6" t="str">
        <f>IF(A447 = "", "", COUNTIFS('Game Record'!H:H, A447, 'Game Record'!E:E, C447))</f>
        <v/>
      </c>
      <c r="F447" s="2">
        <f t="shared" si="1"/>
        <v>0</v>
      </c>
      <c r="G447" s="1" t="str">
        <f>IF(A447 = "", "", COUNTIF('Game Record'!G:G, A447))</f>
        <v/>
      </c>
      <c r="H447" s="6" t="str">
        <f>IF(A447 = "", "", COUNTIF('Game Record'!H:H, A447))</f>
        <v/>
      </c>
      <c r="I447" s="2">
        <f>IFERROR(__xludf.DUMMYFUNCTION("SUM(FILTER(TeamARecordSet, INDEX(TeamARecordSet, 0, 1) = A447)) + SUM(FILTER(TeamBRecordSet, INDEX(TeamBRecordSet, 0, 1) = A447))"),0.0)</f>
        <v>0</v>
      </c>
      <c r="J447" s="2">
        <f t="shared" si="2"/>
        <v>0</v>
      </c>
      <c r="K447" s="2" t="str">
        <f t="shared" si="3"/>
        <v/>
      </c>
    </row>
    <row r="448">
      <c r="A448" s="2"/>
      <c r="B448" s="7"/>
      <c r="D448" s="5" t="str">
        <f>IF(A448 = "", "", COUNTIFS('Game Record'!G:G, A448, 'Game Record'!E:E, C448))</f>
        <v/>
      </c>
      <c r="E448" s="6" t="str">
        <f>IF(A448 = "", "", COUNTIFS('Game Record'!H:H, A448, 'Game Record'!E:E, C448))</f>
        <v/>
      </c>
      <c r="F448" s="2">
        <f t="shared" si="1"/>
        <v>0</v>
      </c>
      <c r="G448" s="1" t="str">
        <f>IF(A448 = "", "", COUNTIF('Game Record'!G:G, A448))</f>
        <v/>
      </c>
      <c r="H448" s="6" t="str">
        <f>IF(A448 = "", "", COUNTIF('Game Record'!H:H, A448))</f>
        <v/>
      </c>
      <c r="I448" s="2">
        <f>IFERROR(__xludf.DUMMYFUNCTION("SUM(FILTER(TeamARecordSet, INDEX(TeamARecordSet, 0, 1) = A448)) + SUM(FILTER(TeamBRecordSet, INDEX(TeamBRecordSet, 0, 1) = A448))"),0.0)</f>
        <v>0</v>
      </c>
      <c r="J448" s="2">
        <f t="shared" si="2"/>
        <v>0</v>
      </c>
      <c r="K448" s="2" t="str">
        <f t="shared" si="3"/>
        <v/>
      </c>
    </row>
    <row r="449">
      <c r="A449" s="2"/>
      <c r="B449" s="7"/>
      <c r="D449" s="5" t="str">
        <f>IF(A449 = "", "", COUNTIFS('Game Record'!G:G, A449, 'Game Record'!E:E, C449))</f>
        <v/>
      </c>
      <c r="E449" s="6" t="str">
        <f>IF(A449 = "", "", COUNTIFS('Game Record'!H:H, A449, 'Game Record'!E:E, C449))</f>
        <v/>
      </c>
      <c r="F449" s="2">
        <f t="shared" si="1"/>
        <v>0</v>
      </c>
      <c r="G449" s="1" t="str">
        <f>IF(A449 = "", "", COUNTIF('Game Record'!G:G, A449))</f>
        <v/>
      </c>
      <c r="H449" s="6" t="str">
        <f>IF(A449 = "", "", COUNTIF('Game Record'!H:H, A449))</f>
        <v/>
      </c>
      <c r="I449" s="2">
        <f>IFERROR(__xludf.DUMMYFUNCTION("SUM(FILTER(TeamARecordSet, INDEX(TeamARecordSet, 0, 1) = A449)) + SUM(FILTER(TeamBRecordSet, INDEX(TeamBRecordSet, 0, 1) = A449))"),0.0)</f>
        <v>0</v>
      </c>
      <c r="J449" s="2">
        <f t="shared" si="2"/>
        <v>0</v>
      </c>
      <c r="K449" s="2" t="str">
        <f t="shared" si="3"/>
        <v/>
      </c>
    </row>
    <row r="450">
      <c r="A450" s="2"/>
      <c r="B450" s="7"/>
      <c r="D450" s="5" t="str">
        <f>IF(A450 = "", "", COUNTIFS('Game Record'!G:G, A450, 'Game Record'!E:E, C450))</f>
        <v/>
      </c>
      <c r="E450" s="6" t="str">
        <f>IF(A450 = "", "", COUNTIFS('Game Record'!H:H, A450, 'Game Record'!E:E, C450))</f>
        <v/>
      </c>
      <c r="F450" s="2">
        <f t="shared" si="1"/>
        <v>0</v>
      </c>
      <c r="G450" s="1" t="str">
        <f>IF(A450 = "", "", COUNTIF('Game Record'!G:G, A450))</f>
        <v/>
      </c>
      <c r="H450" s="6" t="str">
        <f>IF(A450 = "", "", COUNTIF('Game Record'!H:H, A450))</f>
        <v/>
      </c>
      <c r="I450" s="2">
        <f>IFERROR(__xludf.DUMMYFUNCTION("SUM(FILTER(TeamARecordSet, INDEX(TeamARecordSet, 0, 1) = A450)) + SUM(FILTER(TeamBRecordSet, INDEX(TeamBRecordSet, 0, 1) = A450))"),0.0)</f>
        <v>0</v>
      </c>
      <c r="J450" s="2">
        <f t="shared" si="2"/>
        <v>0</v>
      </c>
      <c r="K450" s="2" t="str">
        <f t="shared" si="3"/>
        <v/>
      </c>
    </row>
    <row r="451">
      <c r="A451" s="2"/>
      <c r="B451" s="7"/>
      <c r="D451" s="5" t="str">
        <f>IF(A451 = "", "", COUNTIFS('Game Record'!G:G, A451, 'Game Record'!E:E, C451))</f>
        <v/>
      </c>
      <c r="E451" s="6" t="str">
        <f>IF(A451 = "", "", COUNTIFS('Game Record'!H:H, A451, 'Game Record'!E:E, C451))</f>
        <v/>
      </c>
      <c r="F451" s="2">
        <f t="shared" si="1"/>
        <v>0</v>
      </c>
      <c r="G451" s="1" t="str">
        <f>IF(A451 = "", "", COUNTIF('Game Record'!G:G, A451))</f>
        <v/>
      </c>
      <c r="H451" s="6" t="str">
        <f>IF(A451 = "", "", COUNTIF('Game Record'!H:H, A451))</f>
        <v/>
      </c>
      <c r="I451" s="2">
        <f>IFERROR(__xludf.DUMMYFUNCTION("SUM(FILTER(TeamARecordSet, INDEX(TeamARecordSet, 0, 1) = A451)) + SUM(FILTER(TeamBRecordSet, INDEX(TeamBRecordSet, 0, 1) = A451))"),0.0)</f>
        <v>0</v>
      </c>
      <c r="J451" s="2">
        <f t="shared" si="2"/>
        <v>0</v>
      </c>
      <c r="K451" s="2" t="str">
        <f t="shared" si="3"/>
        <v/>
      </c>
    </row>
    <row r="452">
      <c r="A452" s="2"/>
      <c r="B452" s="7"/>
      <c r="D452" s="5" t="str">
        <f>IF(A452 = "", "", COUNTIFS('Game Record'!G:G, A452, 'Game Record'!E:E, C452))</f>
        <v/>
      </c>
      <c r="E452" s="6" t="str">
        <f>IF(A452 = "", "", COUNTIFS('Game Record'!H:H, A452, 'Game Record'!E:E, C452))</f>
        <v/>
      </c>
      <c r="F452" s="2">
        <f t="shared" si="1"/>
        <v>0</v>
      </c>
      <c r="G452" s="1" t="str">
        <f>IF(A452 = "", "", COUNTIF('Game Record'!G:G, A452))</f>
        <v/>
      </c>
      <c r="H452" s="6" t="str">
        <f>IF(A452 = "", "", COUNTIF('Game Record'!H:H, A452))</f>
        <v/>
      </c>
      <c r="I452" s="2">
        <f>IFERROR(__xludf.DUMMYFUNCTION("SUM(FILTER(TeamARecordSet, INDEX(TeamARecordSet, 0, 1) = A452)) + SUM(FILTER(TeamBRecordSet, INDEX(TeamBRecordSet, 0, 1) = A452))"),0.0)</f>
        <v>0</v>
      </c>
      <c r="J452" s="2">
        <f t="shared" si="2"/>
        <v>0</v>
      </c>
      <c r="K452" s="2" t="str">
        <f t="shared" si="3"/>
        <v/>
      </c>
    </row>
    <row r="453">
      <c r="A453" s="2"/>
      <c r="B453" s="7"/>
      <c r="D453" s="5" t="str">
        <f>IF(A453 = "", "", COUNTIFS('Game Record'!G:G, A453, 'Game Record'!E:E, C453))</f>
        <v/>
      </c>
      <c r="E453" s="6" t="str">
        <f>IF(A453 = "", "", COUNTIFS('Game Record'!H:H, A453, 'Game Record'!E:E, C453))</f>
        <v/>
      </c>
      <c r="F453" s="2">
        <f t="shared" si="1"/>
        <v>0</v>
      </c>
      <c r="G453" s="1" t="str">
        <f>IF(A453 = "", "", COUNTIF('Game Record'!G:G, A453))</f>
        <v/>
      </c>
      <c r="H453" s="6" t="str">
        <f>IF(A453 = "", "", COUNTIF('Game Record'!H:H, A453))</f>
        <v/>
      </c>
      <c r="I453" s="2">
        <f>IFERROR(__xludf.DUMMYFUNCTION("SUM(FILTER(TeamARecordSet, INDEX(TeamARecordSet, 0, 1) = A453)) + SUM(FILTER(TeamBRecordSet, INDEX(TeamBRecordSet, 0, 1) = A453))"),0.0)</f>
        <v>0</v>
      </c>
      <c r="J453" s="2">
        <f t="shared" si="2"/>
        <v>0</v>
      </c>
      <c r="K453" s="2" t="str">
        <f t="shared" si="3"/>
        <v/>
      </c>
    </row>
    <row r="454">
      <c r="A454" s="2"/>
      <c r="B454" s="7"/>
      <c r="D454" s="5" t="str">
        <f>IF(A454 = "", "", COUNTIFS('Game Record'!G:G, A454, 'Game Record'!E:E, C454))</f>
        <v/>
      </c>
      <c r="E454" s="6" t="str">
        <f>IF(A454 = "", "", COUNTIFS('Game Record'!H:H, A454, 'Game Record'!E:E, C454))</f>
        <v/>
      </c>
      <c r="F454" s="2">
        <f t="shared" si="1"/>
        <v>0</v>
      </c>
      <c r="G454" s="1" t="str">
        <f>IF(A454 = "", "", COUNTIF('Game Record'!G:G, A454))</f>
        <v/>
      </c>
      <c r="H454" s="6" t="str">
        <f>IF(A454 = "", "", COUNTIF('Game Record'!H:H, A454))</f>
        <v/>
      </c>
      <c r="I454" s="2">
        <f>IFERROR(__xludf.DUMMYFUNCTION("SUM(FILTER(TeamARecordSet, INDEX(TeamARecordSet, 0, 1) = A454)) + SUM(FILTER(TeamBRecordSet, INDEX(TeamBRecordSet, 0, 1) = A454))"),0.0)</f>
        <v>0</v>
      </c>
      <c r="J454" s="2">
        <f t="shared" si="2"/>
        <v>0</v>
      </c>
      <c r="K454" s="2" t="str">
        <f t="shared" si="3"/>
        <v/>
      </c>
    </row>
    <row r="455">
      <c r="A455" s="2"/>
      <c r="B455" s="7"/>
      <c r="D455" s="5" t="str">
        <f>IF(A455 = "", "", COUNTIFS('Game Record'!G:G, A455, 'Game Record'!E:E, C455))</f>
        <v/>
      </c>
      <c r="E455" s="6" t="str">
        <f>IF(A455 = "", "", COUNTIFS('Game Record'!H:H, A455, 'Game Record'!E:E, C455))</f>
        <v/>
      </c>
      <c r="F455" s="2">
        <f t="shared" si="1"/>
        <v>0</v>
      </c>
      <c r="G455" s="1" t="str">
        <f>IF(A455 = "", "", COUNTIF('Game Record'!G:G, A455))</f>
        <v/>
      </c>
      <c r="H455" s="6" t="str">
        <f>IF(A455 = "", "", COUNTIF('Game Record'!H:H, A455))</f>
        <v/>
      </c>
      <c r="I455" s="2">
        <f>IFERROR(__xludf.DUMMYFUNCTION("SUM(FILTER(TeamARecordSet, INDEX(TeamARecordSet, 0, 1) = A455)) + SUM(FILTER(TeamBRecordSet, INDEX(TeamBRecordSet, 0, 1) = A455))"),0.0)</f>
        <v>0</v>
      </c>
      <c r="J455" s="2">
        <f t="shared" si="2"/>
        <v>0</v>
      </c>
      <c r="K455" s="2" t="str">
        <f t="shared" si="3"/>
        <v/>
      </c>
    </row>
    <row r="456">
      <c r="A456" s="2"/>
      <c r="B456" s="7"/>
      <c r="D456" s="5" t="str">
        <f>IF(A456 = "", "", COUNTIFS('Game Record'!G:G, A456, 'Game Record'!E:E, C456))</f>
        <v/>
      </c>
      <c r="E456" s="6" t="str">
        <f>IF(A456 = "", "", COUNTIFS('Game Record'!H:H, A456, 'Game Record'!E:E, C456))</f>
        <v/>
      </c>
      <c r="F456" s="2">
        <f t="shared" si="1"/>
        <v>0</v>
      </c>
      <c r="G456" s="1" t="str">
        <f>IF(A456 = "", "", COUNTIF('Game Record'!G:G, A456))</f>
        <v/>
      </c>
      <c r="H456" s="6" t="str">
        <f>IF(A456 = "", "", COUNTIF('Game Record'!H:H, A456))</f>
        <v/>
      </c>
      <c r="I456" s="2">
        <f>IFERROR(__xludf.DUMMYFUNCTION("SUM(FILTER(TeamARecordSet, INDEX(TeamARecordSet, 0, 1) = A456)) + SUM(FILTER(TeamBRecordSet, INDEX(TeamBRecordSet, 0, 1) = A456))"),0.0)</f>
        <v>0</v>
      </c>
      <c r="J456" s="2">
        <f t="shared" si="2"/>
        <v>0</v>
      </c>
      <c r="K456" s="2" t="str">
        <f t="shared" si="3"/>
        <v/>
      </c>
    </row>
    <row r="457">
      <c r="A457" s="2"/>
      <c r="B457" s="7"/>
      <c r="D457" s="5" t="str">
        <f>IF(A457 = "", "", COUNTIFS('Game Record'!G:G, A457, 'Game Record'!E:E, C457))</f>
        <v/>
      </c>
      <c r="E457" s="6" t="str">
        <f>IF(A457 = "", "", COUNTIFS('Game Record'!H:H, A457, 'Game Record'!E:E, C457))</f>
        <v/>
      </c>
      <c r="F457" s="2">
        <f t="shared" si="1"/>
        <v>0</v>
      </c>
      <c r="G457" s="1" t="str">
        <f>IF(A457 = "", "", COUNTIF('Game Record'!G:G, A457))</f>
        <v/>
      </c>
      <c r="H457" s="6" t="str">
        <f>IF(A457 = "", "", COUNTIF('Game Record'!H:H, A457))</f>
        <v/>
      </c>
      <c r="I457" s="2">
        <f>IFERROR(__xludf.DUMMYFUNCTION("SUM(FILTER(TeamARecordSet, INDEX(TeamARecordSet, 0, 1) = A457)) + SUM(FILTER(TeamBRecordSet, INDEX(TeamBRecordSet, 0, 1) = A457))"),0.0)</f>
        <v>0</v>
      </c>
      <c r="J457" s="2">
        <f t="shared" si="2"/>
        <v>0</v>
      </c>
      <c r="K457" s="2" t="str">
        <f t="shared" si="3"/>
        <v/>
      </c>
    </row>
    <row r="458">
      <c r="A458" s="2"/>
      <c r="B458" s="7"/>
      <c r="D458" s="5" t="str">
        <f>IF(A458 = "", "", COUNTIFS('Game Record'!G:G, A458, 'Game Record'!E:E, C458))</f>
        <v/>
      </c>
      <c r="E458" s="6" t="str">
        <f>IF(A458 = "", "", COUNTIFS('Game Record'!H:H, A458, 'Game Record'!E:E, C458))</f>
        <v/>
      </c>
      <c r="F458" s="2">
        <f t="shared" si="1"/>
        <v>0</v>
      </c>
      <c r="G458" s="1" t="str">
        <f>IF(A458 = "", "", COUNTIF('Game Record'!G:G, A458))</f>
        <v/>
      </c>
      <c r="H458" s="6" t="str">
        <f>IF(A458 = "", "", COUNTIF('Game Record'!H:H, A458))</f>
        <v/>
      </c>
      <c r="I458" s="2">
        <f>IFERROR(__xludf.DUMMYFUNCTION("SUM(FILTER(TeamARecordSet, INDEX(TeamARecordSet, 0, 1) = A458)) + SUM(FILTER(TeamBRecordSet, INDEX(TeamBRecordSet, 0, 1) = A458))"),0.0)</f>
        <v>0</v>
      </c>
      <c r="J458" s="2">
        <f t="shared" si="2"/>
        <v>0</v>
      </c>
      <c r="K458" s="2" t="str">
        <f t="shared" si="3"/>
        <v/>
      </c>
    </row>
    <row r="459">
      <c r="A459" s="2"/>
      <c r="B459" s="7"/>
      <c r="D459" s="5" t="str">
        <f>IF(A459 = "", "", COUNTIFS('Game Record'!G:G, A459, 'Game Record'!E:E, C459))</f>
        <v/>
      </c>
      <c r="E459" s="6" t="str">
        <f>IF(A459 = "", "", COUNTIFS('Game Record'!H:H, A459, 'Game Record'!E:E, C459))</f>
        <v/>
      </c>
      <c r="F459" s="2">
        <f t="shared" si="1"/>
        <v>0</v>
      </c>
      <c r="G459" s="1" t="str">
        <f>IF(A459 = "", "", COUNTIF('Game Record'!G:G, A459))</f>
        <v/>
      </c>
      <c r="H459" s="6" t="str">
        <f>IF(A459 = "", "", COUNTIF('Game Record'!H:H, A459))</f>
        <v/>
      </c>
      <c r="I459" s="2">
        <f>IFERROR(__xludf.DUMMYFUNCTION("SUM(FILTER(TeamARecordSet, INDEX(TeamARecordSet, 0, 1) = A459)) + SUM(FILTER(TeamBRecordSet, INDEX(TeamBRecordSet, 0, 1) = A459))"),0.0)</f>
        <v>0</v>
      </c>
      <c r="J459" s="2">
        <f t="shared" si="2"/>
        <v>0</v>
      </c>
      <c r="K459" s="2" t="str">
        <f t="shared" si="3"/>
        <v/>
      </c>
    </row>
    <row r="460">
      <c r="A460" s="2"/>
      <c r="B460" s="7"/>
      <c r="D460" s="5" t="str">
        <f>IF(A460 = "", "", COUNTIFS('Game Record'!G:G, A460, 'Game Record'!E:E, C460))</f>
        <v/>
      </c>
      <c r="E460" s="6" t="str">
        <f>IF(A460 = "", "", COUNTIFS('Game Record'!H:H, A460, 'Game Record'!E:E, C460))</f>
        <v/>
      </c>
      <c r="F460" s="2">
        <f t="shared" si="1"/>
        <v>0</v>
      </c>
      <c r="G460" s="1" t="str">
        <f>IF(A460 = "", "", COUNTIF('Game Record'!G:G, A460))</f>
        <v/>
      </c>
      <c r="H460" s="6" t="str">
        <f>IF(A460 = "", "", COUNTIF('Game Record'!H:H, A460))</f>
        <v/>
      </c>
      <c r="I460" s="2">
        <f>IFERROR(__xludf.DUMMYFUNCTION("SUM(FILTER(TeamARecordSet, INDEX(TeamARecordSet, 0, 1) = A460)) + SUM(FILTER(TeamBRecordSet, INDEX(TeamBRecordSet, 0, 1) = A460))"),0.0)</f>
        <v>0</v>
      </c>
      <c r="J460" s="2">
        <f t="shared" si="2"/>
        <v>0</v>
      </c>
      <c r="K460" s="2" t="str">
        <f t="shared" si="3"/>
        <v/>
      </c>
    </row>
    <row r="461">
      <c r="A461" s="2"/>
      <c r="B461" s="7"/>
      <c r="D461" s="5" t="str">
        <f>IF(A461 = "", "", COUNTIFS('Game Record'!G:G, A461, 'Game Record'!E:E, C461))</f>
        <v/>
      </c>
      <c r="E461" s="6" t="str">
        <f>IF(A461 = "", "", COUNTIFS('Game Record'!H:H, A461, 'Game Record'!E:E, C461))</f>
        <v/>
      </c>
      <c r="F461" s="2">
        <f t="shared" si="1"/>
        <v>0</v>
      </c>
      <c r="G461" s="1" t="str">
        <f>IF(A461 = "", "", COUNTIF('Game Record'!G:G, A461))</f>
        <v/>
      </c>
      <c r="H461" s="6" t="str">
        <f>IF(A461 = "", "", COUNTIF('Game Record'!H:H, A461))</f>
        <v/>
      </c>
      <c r="I461" s="2">
        <f>IFERROR(__xludf.DUMMYFUNCTION("SUM(FILTER(TeamARecordSet, INDEX(TeamARecordSet, 0, 1) = A461)) + SUM(FILTER(TeamBRecordSet, INDEX(TeamBRecordSet, 0, 1) = A461))"),0.0)</f>
        <v>0</v>
      </c>
      <c r="J461" s="2">
        <f t="shared" si="2"/>
        <v>0</v>
      </c>
      <c r="K461" s="2" t="str">
        <f t="shared" si="3"/>
        <v/>
      </c>
    </row>
    <row r="462">
      <c r="A462" s="2"/>
      <c r="B462" s="7"/>
      <c r="D462" s="5" t="str">
        <f>IF(A462 = "", "", COUNTIFS('Game Record'!G:G, A462, 'Game Record'!E:E, C462))</f>
        <v/>
      </c>
      <c r="E462" s="6" t="str">
        <f>IF(A462 = "", "", COUNTIFS('Game Record'!H:H, A462, 'Game Record'!E:E, C462))</f>
        <v/>
      </c>
      <c r="F462" s="2">
        <f t="shared" si="1"/>
        <v>0</v>
      </c>
      <c r="G462" s="1" t="str">
        <f>IF(A462 = "", "", COUNTIF('Game Record'!G:G, A462))</f>
        <v/>
      </c>
      <c r="H462" s="6" t="str">
        <f>IF(A462 = "", "", COUNTIF('Game Record'!H:H, A462))</f>
        <v/>
      </c>
      <c r="I462" s="2">
        <f>IFERROR(__xludf.DUMMYFUNCTION("SUM(FILTER(TeamARecordSet, INDEX(TeamARecordSet, 0, 1) = A462)) + SUM(FILTER(TeamBRecordSet, INDEX(TeamBRecordSet, 0, 1) = A462))"),0.0)</f>
        <v>0</v>
      </c>
      <c r="J462" s="2">
        <f t="shared" si="2"/>
        <v>0</v>
      </c>
      <c r="K462" s="2" t="str">
        <f t="shared" si="3"/>
        <v/>
      </c>
    </row>
    <row r="463">
      <c r="A463" s="2"/>
      <c r="B463" s="7"/>
      <c r="D463" s="5" t="str">
        <f>IF(A463 = "", "", COUNTIFS('Game Record'!G:G, A463, 'Game Record'!E:E, C463))</f>
        <v/>
      </c>
      <c r="E463" s="6" t="str">
        <f>IF(A463 = "", "", COUNTIFS('Game Record'!H:H, A463, 'Game Record'!E:E, C463))</f>
        <v/>
      </c>
      <c r="F463" s="2">
        <f t="shared" si="1"/>
        <v>0</v>
      </c>
      <c r="G463" s="1" t="str">
        <f>IF(A463 = "", "", COUNTIF('Game Record'!G:G, A463))</f>
        <v/>
      </c>
      <c r="H463" s="6" t="str">
        <f>IF(A463 = "", "", COUNTIF('Game Record'!H:H, A463))</f>
        <v/>
      </c>
      <c r="I463" s="2">
        <f>IFERROR(__xludf.DUMMYFUNCTION("SUM(FILTER(TeamARecordSet, INDEX(TeamARecordSet, 0, 1) = A463)) + SUM(FILTER(TeamBRecordSet, INDEX(TeamBRecordSet, 0, 1) = A463))"),0.0)</f>
        <v>0</v>
      </c>
      <c r="J463" s="2">
        <f t="shared" si="2"/>
        <v>0</v>
      </c>
      <c r="K463" s="2" t="str">
        <f t="shared" si="3"/>
        <v/>
      </c>
    </row>
    <row r="464">
      <c r="A464" s="2"/>
      <c r="B464" s="7"/>
      <c r="D464" s="5" t="str">
        <f>IF(A464 = "", "", COUNTIFS('Game Record'!G:G, A464, 'Game Record'!E:E, C464))</f>
        <v/>
      </c>
      <c r="E464" s="6" t="str">
        <f>IF(A464 = "", "", COUNTIFS('Game Record'!H:H, A464, 'Game Record'!E:E, C464))</f>
        <v/>
      </c>
      <c r="F464" s="2">
        <f t="shared" si="1"/>
        <v>0</v>
      </c>
      <c r="G464" s="1" t="str">
        <f>IF(A464 = "", "", COUNTIF('Game Record'!G:G, A464))</f>
        <v/>
      </c>
      <c r="H464" s="6" t="str">
        <f>IF(A464 = "", "", COUNTIF('Game Record'!H:H, A464))</f>
        <v/>
      </c>
      <c r="I464" s="2">
        <f>IFERROR(__xludf.DUMMYFUNCTION("SUM(FILTER(TeamARecordSet, INDEX(TeamARecordSet, 0, 1) = A464)) + SUM(FILTER(TeamBRecordSet, INDEX(TeamBRecordSet, 0, 1) = A464))"),0.0)</f>
        <v>0</v>
      </c>
      <c r="J464" s="2">
        <f t="shared" si="2"/>
        <v>0</v>
      </c>
      <c r="K464" s="2" t="str">
        <f t="shared" si="3"/>
        <v/>
      </c>
    </row>
    <row r="465">
      <c r="A465" s="2"/>
      <c r="B465" s="7"/>
      <c r="D465" s="5" t="str">
        <f>IF(A465 = "", "", COUNTIFS('Game Record'!G:G, A465, 'Game Record'!E:E, C465))</f>
        <v/>
      </c>
      <c r="E465" s="6" t="str">
        <f>IF(A465 = "", "", COUNTIFS('Game Record'!H:H, A465, 'Game Record'!E:E, C465))</f>
        <v/>
      </c>
      <c r="F465" s="2">
        <f t="shared" si="1"/>
        <v>0</v>
      </c>
      <c r="G465" s="1" t="str">
        <f>IF(A465 = "", "", COUNTIF('Game Record'!G:G, A465))</f>
        <v/>
      </c>
      <c r="H465" s="6" t="str">
        <f>IF(A465 = "", "", COUNTIF('Game Record'!H:H, A465))</f>
        <v/>
      </c>
      <c r="I465" s="2">
        <f>IFERROR(__xludf.DUMMYFUNCTION("SUM(FILTER(TeamARecordSet, INDEX(TeamARecordSet, 0, 1) = A465)) + SUM(FILTER(TeamBRecordSet, INDEX(TeamBRecordSet, 0, 1) = A465))"),0.0)</f>
        <v>0</v>
      </c>
      <c r="J465" s="2">
        <f t="shared" si="2"/>
        <v>0</v>
      </c>
      <c r="K465" s="2" t="str">
        <f t="shared" si="3"/>
        <v/>
      </c>
    </row>
    <row r="466">
      <c r="A466" s="2"/>
      <c r="B466" s="7"/>
      <c r="D466" s="5" t="str">
        <f>IF(A466 = "", "", COUNTIFS('Game Record'!G:G, A466, 'Game Record'!E:E, C466))</f>
        <v/>
      </c>
      <c r="E466" s="6" t="str">
        <f>IF(A466 = "", "", COUNTIFS('Game Record'!H:H, A466, 'Game Record'!E:E, C466))</f>
        <v/>
      </c>
      <c r="F466" s="2">
        <f t="shared" si="1"/>
        <v>0</v>
      </c>
      <c r="G466" s="1" t="str">
        <f>IF(A466 = "", "", COUNTIF('Game Record'!G:G, A466))</f>
        <v/>
      </c>
      <c r="H466" s="6" t="str">
        <f>IF(A466 = "", "", COUNTIF('Game Record'!H:H, A466))</f>
        <v/>
      </c>
      <c r="I466" s="2">
        <f>IFERROR(__xludf.DUMMYFUNCTION("SUM(FILTER(TeamARecordSet, INDEX(TeamARecordSet, 0, 1) = A466)) + SUM(FILTER(TeamBRecordSet, INDEX(TeamBRecordSet, 0, 1) = A466))"),0.0)</f>
        <v>0</v>
      </c>
      <c r="J466" s="2">
        <f t="shared" si="2"/>
        <v>0</v>
      </c>
      <c r="K466" s="2" t="str">
        <f t="shared" si="3"/>
        <v/>
      </c>
    </row>
    <row r="467">
      <c r="A467" s="2"/>
      <c r="B467" s="7"/>
      <c r="D467" s="5" t="str">
        <f>IF(A467 = "", "", COUNTIFS('Game Record'!G:G, A467, 'Game Record'!E:E, C467))</f>
        <v/>
      </c>
      <c r="E467" s="6" t="str">
        <f>IF(A467 = "", "", COUNTIFS('Game Record'!H:H, A467, 'Game Record'!E:E, C467))</f>
        <v/>
      </c>
      <c r="F467" s="2">
        <f t="shared" si="1"/>
        <v>0</v>
      </c>
      <c r="G467" s="1" t="str">
        <f>IF(A467 = "", "", COUNTIF('Game Record'!G:G, A467))</f>
        <v/>
      </c>
      <c r="H467" s="6" t="str">
        <f>IF(A467 = "", "", COUNTIF('Game Record'!H:H, A467))</f>
        <v/>
      </c>
      <c r="I467" s="2">
        <f>IFERROR(__xludf.DUMMYFUNCTION("SUM(FILTER(TeamARecordSet, INDEX(TeamARecordSet, 0, 1) = A467)) + SUM(FILTER(TeamBRecordSet, INDEX(TeamBRecordSet, 0, 1) = A467))"),0.0)</f>
        <v>0</v>
      </c>
      <c r="J467" s="2">
        <f t="shared" si="2"/>
        <v>0</v>
      </c>
      <c r="K467" s="2" t="str">
        <f t="shared" si="3"/>
        <v/>
      </c>
    </row>
    <row r="468">
      <c r="A468" s="2"/>
      <c r="B468" s="7"/>
      <c r="D468" s="5" t="str">
        <f>IF(A468 = "", "", COUNTIFS('Game Record'!G:G, A468, 'Game Record'!E:E, C468))</f>
        <v/>
      </c>
      <c r="E468" s="6" t="str">
        <f>IF(A468 = "", "", COUNTIFS('Game Record'!H:H, A468, 'Game Record'!E:E, C468))</f>
        <v/>
      </c>
      <c r="F468" s="2">
        <f t="shared" si="1"/>
        <v>0</v>
      </c>
      <c r="G468" s="1" t="str">
        <f>IF(A468 = "", "", COUNTIF('Game Record'!G:G, A468))</f>
        <v/>
      </c>
      <c r="H468" s="6" t="str">
        <f>IF(A468 = "", "", COUNTIF('Game Record'!H:H, A468))</f>
        <v/>
      </c>
      <c r="I468" s="2">
        <f>IFERROR(__xludf.DUMMYFUNCTION("SUM(FILTER(TeamARecordSet, INDEX(TeamARecordSet, 0, 1) = A468)) + SUM(FILTER(TeamBRecordSet, INDEX(TeamBRecordSet, 0, 1) = A468))"),0.0)</f>
        <v>0</v>
      </c>
      <c r="J468" s="2">
        <f t="shared" si="2"/>
        <v>0</v>
      </c>
      <c r="K468" s="2" t="str">
        <f t="shared" si="3"/>
        <v/>
      </c>
    </row>
    <row r="469">
      <c r="A469" s="2"/>
      <c r="B469" s="7"/>
      <c r="D469" s="5" t="str">
        <f>IF(A469 = "", "", COUNTIFS('Game Record'!G:G, A469, 'Game Record'!E:E, C469))</f>
        <v/>
      </c>
      <c r="E469" s="6" t="str">
        <f>IF(A469 = "", "", COUNTIFS('Game Record'!H:H, A469, 'Game Record'!E:E, C469))</f>
        <v/>
      </c>
      <c r="F469" s="2">
        <f t="shared" si="1"/>
        <v>0</v>
      </c>
      <c r="G469" s="1" t="str">
        <f>IF(A469 = "", "", COUNTIF('Game Record'!G:G, A469))</f>
        <v/>
      </c>
      <c r="H469" s="6" t="str">
        <f>IF(A469 = "", "", COUNTIF('Game Record'!H:H, A469))</f>
        <v/>
      </c>
      <c r="I469" s="2">
        <f>IFERROR(__xludf.DUMMYFUNCTION("SUM(FILTER(TeamARecordSet, INDEX(TeamARecordSet, 0, 1) = A469)) + SUM(FILTER(TeamBRecordSet, INDEX(TeamBRecordSet, 0, 1) = A469))"),0.0)</f>
        <v>0</v>
      </c>
      <c r="J469" s="2">
        <f t="shared" si="2"/>
        <v>0</v>
      </c>
      <c r="K469" s="2" t="str">
        <f t="shared" si="3"/>
        <v/>
      </c>
    </row>
    <row r="470">
      <c r="A470" s="2"/>
      <c r="B470" s="7"/>
      <c r="D470" s="5" t="str">
        <f>IF(A470 = "", "", COUNTIFS('Game Record'!G:G, A470, 'Game Record'!E:E, C470))</f>
        <v/>
      </c>
      <c r="E470" s="6" t="str">
        <f>IF(A470 = "", "", COUNTIFS('Game Record'!H:H, A470, 'Game Record'!E:E, C470))</f>
        <v/>
      </c>
      <c r="F470" s="2">
        <f t="shared" si="1"/>
        <v>0</v>
      </c>
      <c r="G470" s="1" t="str">
        <f>IF(A470 = "", "", COUNTIF('Game Record'!G:G, A470))</f>
        <v/>
      </c>
      <c r="H470" s="6" t="str">
        <f>IF(A470 = "", "", COUNTIF('Game Record'!H:H, A470))</f>
        <v/>
      </c>
      <c r="I470" s="2">
        <f>IFERROR(__xludf.DUMMYFUNCTION("SUM(FILTER(TeamARecordSet, INDEX(TeamARecordSet, 0, 1) = A470)) + SUM(FILTER(TeamBRecordSet, INDEX(TeamBRecordSet, 0, 1) = A470))"),0.0)</f>
        <v>0</v>
      </c>
      <c r="J470" s="2">
        <f t="shared" si="2"/>
        <v>0</v>
      </c>
      <c r="K470" s="2" t="str">
        <f t="shared" si="3"/>
        <v/>
      </c>
    </row>
    <row r="471">
      <c r="A471" s="2"/>
      <c r="B471" s="7"/>
      <c r="D471" s="5" t="str">
        <f>IF(A471 = "", "", COUNTIFS('Game Record'!G:G, A471, 'Game Record'!E:E, C471))</f>
        <v/>
      </c>
      <c r="E471" s="6" t="str">
        <f>IF(A471 = "", "", COUNTIFS('Game Record'!H:H, A471, 'Game Record'!E:E, C471))</f>
        <v/>
      </c>
      <c r="F471" s="2">
        <f t="shared" si="1"/>
        <v>0</v>
      </c>
      <c r="G471" s="1" t="str">
        <f>IF(A471 = "", "", COUNTIF('Game Record'!G:G, A471))</f>
        <v/>
      </c>
      <c r="H471" s="6" t="str">
        <f>IF(A471 = "", "", COUNTIF('Game Record'!H:H, A471))</f>
        <v/>
      </c>
      <c r="I471" s="2">
        <f>IFERROR(__xludf.DUMMYFUNCTION("SUM(FILTER(TeamARecordSet, INDEX(TeamARecordSet, 0, 1) = A471)) + SUM(FILTER(TeamBRecordSet, INDEX(TeamBRecordSet, 0, 1) = A471))"),0.0)</f>
        <v>0</v>
      </c>
      <c r="J471" s="2">
        <f t="shared" si="2"/>
        <v>0</v>
      </c>
      <c r="K471" s="2" t="str">
        <f t="shared" si="3"/>
        <v/>
      </c>
    </row>
    <row r="472">
      <c r="A472" s="2"/>
      <c r="B472" s="7"/>
      <c r="D472" s="5" t="str">
        <f>IF(A472 = "", "", COUNTIFS('Game Record'!G:G, A472, 'Game Record'!E:E, C472))</f>
        <v/>
      </c>
      <c r="E472" s="6" t="str">
        <f>IF(A472 = "", "", COUNTIFS('Game Record'!H:H, A472, 'Game Record'!E:E, C472))</f>
        <v/>
      </c>
      <c r="F472" s="2">
        <f t="shared" si="1"/>
        <v>0</v>
      </c>
      <c r="G472" s="1" t="str">
        <f>IF(A472 = "", "", COUNTIF('Game Record'!G:G, A472))</f>
        <v/>
      </c>
      <c r="H472" s="6" t="str">
        <f>IF(A472 = "", "", COUNTIF('Game Record'!H:H, A472))</f>
        <v/>
      </c>
      <c r="I472" s="2">
        <f>IFERROR(__xludf.DUMMYFUNCTION("SUM(FILTER(TeamARecordSet, INDEX(TeamARecordSet, 0, 1) = A472)) + SUM(FILTER(TeamBRecordSet, INDEX(TeamBRecordSet, 0, 1) = A472))"),0.0)</f>
        <v>0</v>
      </c>
      <c r="J472" s="2">
        <f t="shared" si="2"/>
        <v>0</v>
      </c>
      <c r="K472" s="2" t="str">
        <f t="shared" si="3"/>
        <v/>
      </c>
    </row>
    <row r="473">
      <c r="A473" s="2"/>
      <c r="B473" s="7"/>
      <c r="D473" s="5" t="str">
        <f>IF(A473 = "", "", COUNTIFS('Game Record'!G:G, A473, 'Game Record'!E:E, C473))</f>
        <v/>
      </c>
      <c r="E473" s="6" t="str">
        <f>IF(A473 = "", "", COUNTIFS('Game Record'!H:H, A473, 'Game Record'!E:E, C473))</f>
        <v/>
      </c>
      <c r="F473" s="2">
        <f t="shared" si="1"/>
        <v>0</v>
      </c>
      <c r="G473" s="1" t="str">
        <f>IF(A473 = "", "", COUNTIF('Game Record'!G:G, A473))</f>
        <v/>
      </c>
      <c r="H473" s="6" t="str">
        <f>IF(A473 = "", "", COUNTIF('Game Record'!H:H, A473))</f>
        <v/>
      </c>
      <c r="I473" s="2">
        <f>IFERROR(__xludf.DUMMYFUNCTION("SUM(FILTER(TeamARecordSet, INDEX(TeamARecordSet, 0, 1) = A473)) + SUM(FILTER(TeamBRecordSet, INDEX(TeamBRecordSet, 0, 1) = A473))"),0.0)</f>
        <v>0</v>
      </c>
      <c r="J473" s="2">
        <f t="shared" si="2"/>
        <v>0</v>
      </c>
      <c r="K473" s="2" t="str">
        <f t="shared" si="3"/>
        <v/>
      </c>
    </row>
    <row r="474">
      <c r="A474" s="2"/>
      <c r="B474" s="7"/>
      <c r="D474" s="5" t="str">
        <f>IF(A474 = "", "", COUNTIFS('Game Record'!G:G, A474, 'Game Record'!E:E, C474))</f>
        <v/>
      </c>
      <c r="E474" s="6" t="str">
        <f>IF(A474 = "", "", COUNTIFS('Game Record'!H:H, A474, 'Game Record'!E:E, C474))</f>
        <v/>
      </c>
      <c r="F474" s="2">
        <f t="shared" si="1"/>
        <v>0</v>
      </c>
      <c r="G474" s="1" t="str">
        <f>IF(A474 = "", "", COUNTIF('Game Record'!G:G, A474))</f>
        <v/>
      </c>
      <c r="H474" s="6" t="str">
        <f>IF(A474 = "", "", COUNTIF('Game Record'!H:H, A474))</f>
        <v/>
      </c>
      <c r="I474" s="2">
        <f>IFERROR(__xludf.DUMMYFUNCTION("SUM(FILTER(TeamARecordSet, INDEX(TeamARecordSet, 0, 1) = A474)) + SUM(FILTER(TeamBRecordSet, INDEX(TeamBRecordSet, 0, 1) = A474))"),0.0)</f>
        <v>0</v>
      </c>
      <c r="J474" s="2">
        <f t="shared" si="2"/>
        <v>0</v>
      </c>
      <c r="K474" s="2" t="str">
        <f t="shared" si="3"/>
        <v/>
      </c>
    </row>
    <row r="475">
      <c r="A475" s="2"/>
      <c r="B475" s="7"/>
      <c r="D475" s="5" t="str">
        <f>IF(A475 = "", "", COUNTIFS('Game Record'!G:G, A475, 'Game Record'!E:E, C475))</f>
        <v/>
      </c>
      <c r="E475" s="6" t="str">
        <f>IF(A475 = "", "", COUNTIFS('Game Record'!H:H, A475, 'Game Record'!E:E, C475))</f>
        <v/>
      </c>
      <c r="F475" s="2">
        <f t="shared" si="1"/>
        <v>0</v>
      </c>
      <c r="G475" s="1" t="str">
        <f>IF(A475 = "", "", COUNTIF('Game Record'!G:G, A475))</f>
        <v/>
      </c>
      <c r="H475" s="6" t="str">
        <f>IF(A475 = "", "", COUNTIF('Game Record'!H:H, A475))</f>
        <v/>
      </c>
      <c r="I475" s="2">
        <f>IFERROR(__xludf.DUMMYFUNCTION("SUM(FILTER(TeamARecordSet, INDEX(TeamARecordSet, 0, 1) = A475)) + SUM(FILTER(TeamBRecordSet, INDEX(TeamBRecordSet, 0, 1) = A475))"),0.0)</f>
        <v>0</v>
      </c>
      <c r="J475" s="2">
        <f t="shared" si="2"/>
        <v>0</v>
      </c>
      <c r="K475" s="2" t="str">
        <f t="shared" si="3"/>
        <v/>
      </c>
    </row>
    <row r="476">
      <c r="A476" s="2"/>
      <c r="B476" s="7"/>
      <c r="D476" s="5" t="str">
        <f>IF(A476 = "", "", COUNTIFS('Game Record'!G:G, A476, 'Game Record'!E:E, C476))</f>
        <v/>
      </c>
      <c r="E476" s="6" t="str">
        <f>IF(A476 = "", "", COUNTIFS('Game Record'!H:H, A476, 'Game Record'!E:E, C476))</f>
        <v/>
      </c>
      <c r="F476" s="2">
        <f t="shared" si="1"/>
        <v>0</v>
      </c>
      <c r="G476" s="1" t="str">
        <f>IF(A476 = "", "", COUNTIF('Game Record'!G:G, A476))</f>
        <v/>
      </c>
      <c r="H476" s="6" t="str">
        <f>IF(A476 = "", "", COUNTIF('Game Record'!H:H, A476))</f>
        <v/>
      </c>
      <c r="I476" s="2">
        <f>IFERROR(__xludf.DUMMYFUNCTION("SUM(FILTER(TeamARecordSet, INDEX(TeamARecordSet, 0, 1) = A476)) + SUM(FILTER(TeamBRecordSet, INDEX(TeamBRecordSet, 0, 1) = A476))"),0.0)</f>
        <v>0</v>
      </c>
      <c r="J476" s="2">
        <f t="shared" si="2"/>
        <v>0</v>
      </c>
      <c r="K476" s="2" t="str">
        <f t="shared" si="3"/>
        <v/>
      </c>
    </row>
    <row r="477">
      <c r="A477" s="2"/>
      <c r="B477" s="7"/>
      <c r="D477" s="5" t="str">
        <f>IF(A477 = "", "", COUNTIFS('Game Record'!G:G, A477, 'Game Record'!E:E, C477))</f>
        <v/>
      </c>
      <c r="E477" s="6" t="str">
        <f>IF(A477 = "", "", COUNTIFS('Game Record'!H:H, A477, 'Game Record'!E:E, C477))</f>
        <v/>
      </c>
      <c r="F477" s="2">
        <f t="shared" si="1"/>
        <v>0</v>
      </c>
      <c r="G477" s="1" t="str">
        <f>IF(A477 = "", "", COUNTIF('Game Record'!G:G, A477))</f>
        <v/>
      </c>
      <c r="H477" s="6" t="str">
        <f>IF(A477 = "", "", COUNTIF('Game Record'!H:H, A477))</f>
        <v/>
      </c>
      <c r="I477" s="2">
        <f>IFERROR(__xludf.DUMMYFUNCTION("SUM(FILTER(TeamARecordSet, INDEX(TeamARecordSet, 0, 1) = A477)) + SUM(FILTER(TeamBRecordSet, INDEX(TeamBRecordSet, 0, 1) = A477))"),0.0)</f>
        <v>0</v>
      </c>
      <c r="J477" s="2">
        <f t="shared" si="2"/>
        <v>0</v>
      </c>
      <c r="K477" s="2" t="str">
        <f t="shared" si="3"/>
        <v/>
      </c>
    </row>
    <row r="478">
      <c r="A478" s="2"/>
      <c r="B478" s="7"/>
      <c r="D478" s="5" t="str">
        <f>IF(A478 = "", "", COUNTIFS('Game Record'!G:G, A478, 'Game Record'!E:E, C478))</f>
        <v/>
      </c>
      <c r="E478" s="6" t="str">
        <f>IF(A478 = "", "", COUNTIFS('Game Record'!H:H, A478, 'Game Record'!E:E, C478))</f>
        <v/>
      </c>
      <c r="F478" s="2">
        <f t="shared" si="1"/>
        <v>0</v>
      </c>
      <c r="G478" s="1" t="str">
        <f>IF(A478 = "", "", COUNTIF('Game Record'!G:G, A478))</f>
        <v/>
      </c>
      <c r="H478" s="6" t="str">
        <f>IF(A478 = "", "", COUNTIF('Game Record'!H:H, A478))</f>
        <v/>
      </c>
      <c r="I478" s="2">
        <f>IFERROR(__xludf.DUMMYFUNCTION("SUM(FILTER(TeamARecordSet, INDEX(TeamARecordSet, 0, 1) = A478)) + SUM(FILTER(TeamBRecordSet, INDEX(TeamBRecordSet, 0, 1) = A478))"),0.0)</f>
        <v>0</v>
      </c>
      <c r="J478" s="2">
        <f t="shared" si="2"/>
        <v>0</v>
      </c>
      <c r="K478" s="2" t="str">
        <f t="shared" si="3"/>
        <v/>
      </c>
    </row>
    <row r="479">
      <c r="A479" s="2"/>
      <c r="B479" s="7"/>
      <c r="D479" s="5" t="str">
        <f>IF(A479 = "", "", COUNTIFS('Game Record'!G:G, A479, 'Game Record'!E:E, C479))</f>
        <v/>
      </c>
      <c r="E479" s="6" t="str">
        <f>IF(A479 = "", "", COUNTIFS('Game Record'!H:H, A479, 'Game Record'!E:E, C479))</f>
        <v/>
      </c>
      <c r="F479" s="2">
        <f t="shared" si="1"/>
        <v>0</v>
      </c>
      <c r="G479" s="1" t="str">
        <f>IF(A479 = "", "", COUNTIF('Game Record'!G:G, A479))</f>
        <v/>
      </c>
      <c r="H479" s="6" t="str">
        <f>IF(A479 = "", "", COUNTIF('Game Record'!H:H, A479))</f>
        <v/>
      </c>
      <c r="I479" s="2">
        <f>IFERROR(__xludf.DUMMYFUNCTION("SUM(FILTER(TeamARecordSet, INDEX(TeamARecordSet, 0, 1) = A479)) + SUM(FILTER(TeamBRecordSet, INDEX(TeamBRecordSet, 0, 1) = A479))"),0.0)</f>
        <v>0</v>
      </c>
      <c r="J479" s="2">
        <f t="shared" si="2"/>
        <v>0</v>
      </c>
      <c r="K479" s="2" t="str">
        <f t="shared" si="3"/>
        <v/>
      </c>
    </row>
    <row r="480">
      <c r="A480" s="2"/>
      <c r="B480" s="7"/>
      <c r="D480" s="5" t="str">
        <f>IF(A480 = "", "", COUNTIFS('Game Record'!G:G, A480, 'Game Record'!E:E, C480))</f>
        <v/>
      </c>
      <c r="E480" s="6" t="str">
        <f>IF(A480 = "", "", COUNTIFS('Game Record'!H:H, A480, 'Game Record'!E:E, C480))</f>
        <v/>
      </c>
      <c r="F480" s="2">
        <f t="shared" si="1"/>
        <v>0</v>
      </c>
      <c r="G480" s="1" t="str">
        <f>IF(A480 = "", "", COUNTIF('Game Record'!G:G, A480))</f>
        <v/>
      </c>
      <c r="H480" s="6" t="str">
        <f>IF(A480 = "", "", COUNTIF('Game Record'!H:H, A480))</f>
        <v/>
      </c>
      <c r="I480" s="2">
        <f>IFERROR(__xludf.DUMMYFUNCTION("SUM(FILTER(TeamARecordSet, INDEX(TeamARecordSet, 0, 1) = A480)) + SUM(FILTER(TeamBRecordSet, INDEX(TeamBRecordSet, 0, 1) = A480))"),0.0)</f>
        <v>0</v>
      </c>
      <c r="J480" s="2">
        <f t="shared" si="2"/>
        <v>0</v>
      </c>
      <c r="K480" s="2" t="str">
        <f t="shared" si="3"/>
        <v/>
      </c>
    </row>
    <row r="481">
      <c r="A481" s="2"/>
      <c r="B481" s="7"/>
      <c r="D481" s="5" t="str">
        <f>IF(A481 = "", "", COUNTIFS('Game Record'!G:G, A481, 'Game Record'!E:E, C481))</f>
        <v/>
      </c>
      <c r="E481" s="6" t="str">
        <f>IF(A481 = "", "", COUNTIFS('Game Record'!H:H, A481, 'Game Record'!E:E, C481))</f>
        <v/>
      </c>
      <c r="F481" s="2">
        <f t="shared" si="1"/>
        <v>0</v>
      </c>
      <c r="G481" s="1" t="str">
        <f>IF(A481 = "", "", COUNTIF('Game Record'!G:G, A481))</f>
        <v/>
      </c>
      <c r="H481" s="6" t="str">
        <f>IF(A481 = "", "", COUNTIF('Game Record'!H:H, A481))</f>
        <v/>
      </c>
      <c r="I481" s="2">
        <f>IFERROR(__xludf.DUMMYFUNCTION("SUM(FILTER(TeamARecordSet, INDEX(TeamARecordSet, 0, 1) = A481)) + SUM(FILTER(TeamBRecordSet, INDEX(TeamBRecordSet, 0, 1) = A481))"),0.0)</f>
        <v>0</v>
      </c>
      <c r="J481" s="2">
        <f t="shared" si="2"/>
        <v>0</v>
      </c>
      <c r="K481" s="2" t="str">
        <f t="shared" si="3"/>
        <v/>
      </c>
    </row>
    <row r="482">
      <c r="A482" s="2"/>
      <c r="B482" s="7"/>
      <c r="D482" s="5" t="str">
        <f>IF(A482 = "", "", COUNTIFS('Game Record'!G:G, A482, 'Game Record'!E:E, C482))</f>
        <v/>
      </c>
      <c r="E482" s="6" t="str">
        <f>IF(A482 = "", "", COUNTIFS('Game Record'!H:H, A482, 'Game Record'!E:E, C482))</f>
        <v/>
      </c>
      <c r="F482" s="2">
        <f t="shared" si="1"/>
        <v>0</v>
      </c>
      <c r="G482" s="1" t="str">
        <f>IF(A482 = "", "", COUNTIF('Game Record'!G:G, A482))</f>
        <v/>
      </c>
      <c r="H482" s="6" t="str">
        <f>IF(A482 = "", "", COUNTIF('Game Record'!H:H, A482))</f>
        <v/>
      </c>
      <c r="I482" s="2">
        <f>IFERROR(__xludf.DUMMYFUNCTION("SUM(FILTER(TeamARecordSet, INDEX(TeamARecordSet, 0, 1) = A482)) + SUM(FILTER(TeamBRecordSet, INDEX(TeamBRecordSet, 0, 1) = A482))"),0.0)</f>
        <v>0</v>
      </c>
      <c r="J482" s="2">
        <f t="shared" si="2"/>
        <v>0</v>
      </c>
      <c r="K482" s="2" t="str">
        <f t="shared" si="3"/>
        <v/>
      </c>
    </row>
    <row r="483">
      <c r="A483" s="2"/>
      <c r="B483" s="7"/>
      <c r="D483" s="5" t="str">
        <f>IF(A483 = "", "", COUNTIFS('Game Record'!G:G, A483, 'Game Record'!E:E, C483))</f>
        <v/>
      </c>
      <c r="E483" s="6" t="str">
        <f>IF(A483 = "", "", COUNTIFS('Game Record'!H:H, A483, 'Game Record'!E:E, C483))</f>
        <v/>
      </c>
      <c r="F483" s="2">
        <f t="shared" si="1"/>
        <v>0</v>
      </c>
      <c r="G483" s="1" t="str">
        <f>IF(A483 = "", "", COUNTIF('Game Record'!G:G, A483))</f>
        <v/>
      </c>
      <c r="H483" s="6" t="str">
        <f>IF(A483 = "", "", COUNTIF('Game Record'!H:H, A483))</f>
        <v/>
      </c>
      <c r="I483" s="2">
        <f>IFERROR(__xludf.DUMMYFUNCTION("SUM(FILTER(TeamARecordSet, INDEX(TeamARecordSet, 0, 1) = A483)) + SUM(FILTER(TeamBRecordSet, INDEX(TeamBRecordSet, 0, 1) = A483))"),0.0)</f>
        <v>0</v>
      </c>
      <c r="J483" s="2">
        <f t="shared" si="2"/>
        <v>0</v>
      </c>
      <c r="K483" s="2" t="str">
        <f t="shared" si="3"/>
        <v/>
      </c>
    </row>
    <row r="484">
      <c r="A484" s="2"/>
      <c r="B484" s="7"/>
      <c r="D484" s="5" t="str">
        <f>IF(A484 = "", "", COUNTIFS('Game Record'!G:G, A484, 'Game Record'!E:E, C484))</f>
        <v/>
      </c>
      <c r="E484" s="6" t="str">
        <f>IF(A484 = "", "", COUNTIFS('Game Record'!H:H, A484, 'Game Record'!E:E, C484))</f>
        <v/>
      </c>
      <c r="F484" s="2">
        <f t="shared" si="1"/>
        <v>0</v>
      </c>
      <c r="G484" s="1" t="str">
        <f>IF(A484 = "", "", COUNTIF('Game Record'!G:G, A484))</f>
        <v/>
      </c>
      <c r="H484" s="6" t="str">
        <f>IF(A484 = "", "", COUNTIF('Game Record'!H:H, A484))</f>
        <v/>
      </c>
      <c r="I484" s="2">
        <f>IFERROR(__xludf.DUMMYFUNCTION("SUM(FILTER(TeamARecordSet, INDEX(TeamARecordSet, 0, 1) = A484)) + SUM(FILTER(TeamBRecordSet, INDEX(TeamBRecordSet, 0, 1) = A484))"),0.0)</f>
        <v>0</v>
      </c>
      <c r="J484" s="2">
        <f t="shared" si="2"/>
        <v>0</v>
      </c>
      <c r="K484" s="2" t="str">
        <f t="shared" si="3"/>
        <v/>
      </c>
    </row>
    <row r="485">
      <c r="A485" s="2"/>
      <c r="B485" s="7"/>
      <c r="D485" s="5" t="str">
        <f>IF(A485 = "", "", COUNTIFS('Game Record'!G:G, A485, 'Game Record'!E:E, C485))</f>
        <v/>
      </c>
      <c r="E485" s="6" t="str">
        <f>IF(A485 = "", "", COUNTIFS('Game Record'!H:H, A485, 'Game Record'!E:E, C485))</f>
        <v/>
      </c>
      <c r="F485" s="2">
        <f t="shared" si="1"/>
        <v>0</v>
      </c>
      <c r="G485" s="1" t="str">
        <f>IF(A485 = "", "", COUNTIF('Game Record'!G:G, A485))</f>
        <v/>
      </c>
      <c r="H485" s="6" t="str">
        <f>IF(A485 = "", "", COUNTIF('Game Record'!H:H, A485))</f>
        <v/>
      </c>
      <c r="I485" s="2">
        <f>IFERROR(__xludf.DUMMYFUNCTION("SUM(FILTER(TeamARecordSet, INDEX(TeamARecordSet, 0, 1) = A485)) + SUM(FILTER(TeamBRecordSet, INDEX(TeamBRecordSet, 0, 1) = A485))"),0.0)</f>
        <v>0</v>
      </c>
      <c r="J485" s="2">
        <f t="shared" si="2"/>
        <v>0</v>
      </c>
      <c r="K485" s="2" t="str">
        <f t="shared" si="3"/>
        <v/>
      </c>
    </row>
    <row r="486">
      <c r="A486" s="2"/>
      <c r="B486" s="7"/>
      <c r="D486" s="5" t="str">
        <f>IF(A486 = "", "", COUNTIFS('Game Record'!G:G, A486, 'Game Record'!E:E, C486))</f>
        <v/>
      </c>
      <c r="E486" s="6" t="str">
        <f>IF(A486 = "", "", COUNTIFS('Game Record'!H:H, A486, 'Game Record'!E:E, C486))</f>
        <v/>
      </c>
      <c r="F486" s="2">
        <f t="shared" si="1"/>
        <v>0</v>
      </c>
      <c r="G486" s="1" t="str">
        <f>IF(A486 = "", "", COUNTIF('Game Record'!G:G, A486))</f>
        <v/>
      </c>
      <c r="H486" s="6" t="str">
        <f>IF(A486 = "", "", COUNTIF('Game Record'!H:H, A486))</f>
        <v/>
      </c>
      <c r="I486" s="2">
        <f>IFERROR(__xludf.DUMMYFUNCTION("SUM(FILTER(TeamARecordSet, INDEX(TeamARecordSet, 0, 1) = A486)) + SUM(FILTER(TeamBRecordSet, INDEX(TeamBRecordSet, 0, 1) = A486))"),0.0)</f>
        <v>0</v>
      </c>
      <c r="J486" s="2">
        <f t="shared" si="2"/>
        <v>0</v>
      </c>
      <c r="K486" s="2" t="str">
        <f t="shared" si="3"/>
        <v/>
      </c>
    </row>
    <row r="487">
      <c r="A487" s="2"/>
      <c r="B487" s="7"/>
      <c r="D487" s="5" t="str">
        <f>IF(A487 = "", "", COUNTIFS('Game Record'!G:G, A487, 'Game Record'!E:E, C487))</f>
        <v/>
      </c>
      <c r="E487" s="6" t="str">
        <f>IF(A487 = "", "", COUNTIFS('Game Record'!H:H, A487, 'Game Record'!E:E, C487))</f>
        <v/>
      </c>
      <c r="F487" s="2">
        <f t="shared" si="1"/>
        <v>0</v>
      </c>
      <c r="G487" s="1" t="str">
        <f>IF(A487 = "", "", COUNTIF('Game Record'!G:G, A487))</f>
        <v/>
      </c>
      <c r="H487" s="6" t="str">
        <f>IF(A487 = "", "", COUNTIF('Game Record'!H:H, A487))</f>
        <v/>
      </c>
      <c r="I487" s="2">
        <f>IFERROR(__xludf.DUMMYFUNCTION("SUM(FILTER(TeamARecordSet, INDEX(TeamARecordSet, 0, 1) = A487)) + SUM(FILTER(TeamBRecordSet, INDEX(TeamBRecordSet, 0, 1) = A487))"),0.0)</f>
        <v>0</v>
      </c>
      <c r="J487" s="2">
        <f t="shared" si="2"/>
        <v>0</v>
      </c>
      <c r="K487" s="2" t="str">
        <f t="shared" si="3"/>
        <v/>
      </c>
    </row>
    <row r="488">
      <c r="A488" s="2"/>
      <c r="B488" s="7"/>
      <c r="D488" s="5" t="str">
        <f>IF(A488 = "", "", COUNTIFS('Game Record'!G:G, A488, 'Game Record'!E:E, C488))</f>
        <v/>
      </c>
      <c r="E488" s="6" t="str">
        <f>IF(A488 = "", "", COUNTIFS('Game Record'!H:H, A488, 'Game Record'!E:E, C488))</f>
        <v/>
      </c>
      <c r="F488" s="2">
        <f t="shared" si="1"/>
        <v>0</v>
      </c>
      <c r="G488" s="1" t="str">
        <f>IF(A488 = "", "", COUNTIF('Game Record'!G:G, A488))</f>
        <v/>
      </c>
      <c r="H488" s="6" t="str">
        <f>IF(A488 = "", "", COUNTIF('Game Record'!H:H, A488))</f>
        <v/>
      </c>
      <c r="I488" s="2">
        <f>IFERROR(__xludf.DUMMYFUNCTION("SUM(FILTER(TeamARecordSet, INDEX(TeamARecordSet, 0, 1) = A488)) + SUM(FILTER(TeamBRecordSet, INDEX(TeamBRecordSet, 0, 1) = A488))"),0.0)</f>
        <v>0</v>
      </c>
      <c r="J488" s="2">
        <f t="shared" si="2"/>
        <v>0</v>
      </c>
      <c r="K488" s="2" t="str">
        <f t="shared" si="3"/>
        <v/>
      </c>
    </row>
    <row r="489">
      <c r="A489" s="2"/>
      <c r="B489" s="7"/>
      <c r="D489" s="5" t="str">
        <f>IF(A489 = "", "", COUNTIFS('Game Record'!G:G, A489, 'Game Record'!E:E, C489))</f>
        <v/>
      </c>
      <c r="E489" s="6" t="str">
        <f>IF(A489 = "", "", COUNTIFS('Game Record'!H:H, A489, 'Game Record'!E:E, C489))</f>
        <v/>
      </c>
      <c r="F489" s="2">
        <f t="shared" si="1"/>
        <v>0</v>
      </c>
      <c r="G489" s="1" t="str">
        <f>IF(A489 = "", "", COUNTIF('Game Record'!G:G, A489))</f>
        <v/>
      </c>
      <c r="H489" s="6" t="str">
        <f>IF(A489 = "", "", COUNTIF('Game Record'!H:H, A489))</f>
        <v/>
      </c>
      <c r="I489" s="2">
        <f>IFERROR(__xludf.DUMMYFUNCTION("SUM(FILTER(TeamARecordSet, INDEX(TeamARecordSet, 0, 1) = A489)) + SUM(FILTER(TeamBRecordSet, INDEX(TeamBRecordSet, 0, 1) = A489))"),0.0)</f>
        <v>0</v>
      </c>
      <c r="J489" s="2">
        <f t="shared" si="2"/>
        <v>0</v>
      </c>
      <c r="K489" s="2" t="str">
        <f t="shared" si="3"/>
        <v/>
      </c>
    </row>
    <row r="490">
      <c r="A490" s="2"/>
      <c r="B490" s="7"/>
      <c r="D490" s="5" t="str">
        <f>IF(A490 = "", "", COUNTIFS('Game Record'!G:G, A490, 'Game Record'!E:E, C490))</f>
        <v/>
      </c>
      <c r="E490" s="6" t="str">
        <f>IF(A490 = "", "", COUNTIFS('Game Record'!H:H, A490, 'Game Record'!E:E, C490))</f>
        <v/>
      </c>
      <c r="F490" s="2">
        <f t="shared" si="1"/>
        <v>0</v>
      </c>
      <c r="G490" s="1" t="str">
        <f>IF(A490 = "", "", COUNTIF('Game Record'!G:G, A490))</f>
        <v/>
      </c>
      <c r="H490" s="6" t="str">
        <f>IF(A490 = "", "", COUNTIF('Game Record'!H:H, A490))</f>
        <v/>
      </c>
      <c r="I490" s="2">
        <f>IFERROR(__xludf.DUMMYFUNCTION("SUM(FILTER(TeamARecordSet, INDEX(TeamARecordSet, 0, 1) = A490)) + SUM(FILTER(TeamBRecordSet, INDEX(TeamBRecordSet, 0, 1) = A490))"),0.0)</f>
        <v>0</v>
      </c>
      <c r="J490" s="2">
        <f t="shared" si="2"/>
        <v>0</v>
      </c>
      <c r="K490" s="2" t="str">
        <f t="shared" si="3"/>
        <v/>
      </c>
    </row>
    <row r="491">
      <c r="A491" s="2"/>
      <c r="B491" s="7"/>
      <c r="D491" s="5" t="str">
        <f>IF(A491 = "", "", COUNTIFS('Game Record'!G:G, A491, 'Game Record'!E:E, C491))</f>
        <v/>
      </c>
      <c r="E491" s="6" t="str">
        <f>IF(A491 = "", "", COUNTIFS('Game Record'!H:H, A491, 'Game Record'!E:E, C491))</f>
        <v/>
      </c>
      <c r="F491" s="2">
        <f t="shared" si="1"/>
        <v>0</v>
      </c>
      <c r="G491" s="1" t="str">
        <f>IF(A491 = "", "", COUNTIF('Game Record'!G:G, A491))</f>
        <v/>
      </c>
      <c r="H491" s="6" t="str">
        <f>IF(A491 = "", "", COUNTIF('Game Record'!H:H, A491))</f>
        <v/>
      </c>
      <c r="I491" s="2">
        <f>IFERROR(__xludf.DUMMYFUNCTION("SUM(FILTER(TeamARecordSet, INDEX(TeamARecordSet, 0, 1) = A491)) + SUM(FILTER(TeamBRecordSet, INDEX(TeamBRecordSet, 0, 1) = A491))"),0.0)</f>
        <v>0</v>
      </c>
      <c r="J491" s="2">
        <f t="shared" si="2"/>
        <v>0</v>
      </c>
      <c r="K491" s="2" t="str">
        <f t="shared" si="3"/>
        <v/>
      </c>
    </row>
    <row r="492">
      <c r="A492" s="2"/>
      <c r="B492" s="7"/>
      <c r="D492" s="5" t="str">
        <f>IF(A492 = "", "", COUNTIFS('Game Record'!G:G, A492, 'Game Record'!E:E, C492))</f>
        <v/>
      </c>
      <c r="E492" s="6" t="str">
        <f>IF(A492 = "", "", COUNTIFS('Game Record'!H:H, A492, 'Game Record'!E:E, C492))</f>
        <v/>
      </c>
      <c r="F492" s="2">
        <f t="shared" si="1"/>
        <v>0</v>
      </c>
      <c r="G492" s="1" t="str">
        <f>IF(A492 = "", "", COUNTIF('Game Record'!G:G, A492))</f>
        <v/>
      </c>
      <c r="H492" s="6" t="str">
        <f>IF(A492 = "", "", COUNTIF('Game Record'!H:H, A492))</f>
        <v/>
      </c>
      <c r="I492" s="2">
        <f>IFERROR(__xludf.DUMMYFUNCTION("SUM(FILTER(TeamARecordSet, INDEX(TeamARecordSet, 0, 1) = A492)) + SUM(FILTER(TeamBRecordSet, INDEX(TeamBRecordSet, 0, 1) = A492))"),0.0)</f>
        <v>0</v>
      </c>
      <c r="J492" s="2">
        <f t="shared" si="2"/>
        <v>0</v>
      </c>
      <c r="K492" s="2" t="str">
        <f t="shared" si="3"/>
        <v/>
      </c>
    </row>
    <row r="493">
      <c r="A493" s="2"/>
      <c r="B493" s="7"/>
      <c r="D493" s="5" t="str">
        <f>IF(A493 = "", "", COUNTIFS('Game Record'!G:G, A493, 'Game Record'!E:E, C493))</f>
        <v/>
      </c>
      <c r="E493" s="6" t="str">
        <f>IF(A493 = "", "", COUNTIFS('Game Record'!H:H, A493, 'Game Record'!E:E, C493))</f>
        <v/>
      </c>
      <c r="F493" s="2">
        <f t="shared" si="1"/>
        <v>0</v>
      </c>
      <c r="G493" s="1" t="str">
        <f>IF(A493 = "", "", COUNTIF('Game Record'!G:G, A493))</f>
        <v/>
      </c>
      <c r="H493" s="6" t="str">
        <f>IF(A493 = "", "", COUNTIF('Game Record'!H:H, A493))</f>
        <v/>
      </c>
      <c r="I493" s="2">
        <f>IFERROR(__xludf.DUMMYFUNCTION("SUM(FILTER(TeamARecordSet, INDEX(TeamARecordSet, 0, 1) = A493)) + SUM(FILTER(TeamBRecordSet, INDEX(TeamBRecordSet, 0, 1) = A493))"),0.0)</f>
        <v>0</v>
      </c>
      <c r="J493" s="2">
        <f t="shared" si="2"/>
        <v>0</v>
      </c>
      <c r="K493" s="2" t="str">
        <f t="shared" si="3"/>
        <v/>
      </c>
    </row>
    <row r="494">
      <c r="A494" s="2"/>
      <c r="B494" s="7"/>
      <c r="D494" s="5" t="str">
        <f>IF(A494 = "", "", COUNTIFS('Game Record'!G:G, A494, 'Game Record'!E:E, C494))</f>
        <v/>
      </c>
      <c r="E494" s="6" t="str">
        <f>IF(A494 = "", "", COUNTIFS('Game Record'!H:H, A494, 'Game Record'!E:E, C494))</f>
        <v/>
      </c>
      <c r="F494" s="2">
        <f t="shared" si="1"/>
        <v>0</v>
      </c>
      <c r="G494" s="1" t="str">
        <f>IF(A494 = "", "", COUNTIF('Game Record'!G:G, A494))</f>
        <v/>
      </c>
      <c r="H494" s="6" t="str">
        <f>IF(A494 = "", "", COUNTIF('Game Record'!H:H, A494))</f>
        <v/>
      </c>
      <c r="I494" s="2">
        <f>IFERROR(__xludf.DUMMYFUNCTION("SUM(FILTER(TeamARecordSet, INDEX(TeamARecordSet, 0, 1) = A494)) + SUM(FILTER(TeamBRecordSet, INDEX(TeamBRecordSet, 0, 1) = A494))"),0.0)</f>
        <v>0</v>
      </c>
      <c r="J494" s="2">
        <f t="shared" si="2"/>
        <v>0</v>
      </c>
      <c r="K494" s="2" t="str">
        <f t="shared" si="3"/>
        <v/>
      </c>
    </row>
    <row r="495">
      <c r="A495" s="2"/>
      <c r="B495" s="7"/>
      <c r="D495" s="5" t="str">
        <f>IF(A495 = "", "", COUNTIFS('Game Record'!G:G, A495, 'Game Record'!E:E, C495))</f>
        <v/>
      </c>
      <c r="E495" s="6" t="str">
        <f>IF(A495 = "", "", COUNTIFS('Game Record'!H:H, A495, 'Game Record'!E:E, C495))</f>
        <v/>
      </c>
      <c r="F495" s="2">
        <f t="shared" si="1"/>
        <v>0</v>
      </c>
      <c r="G495" s="1" t="str">
        <f>IF(A495 = "", "", COUNTIF('Game Record'!G:G, A495))</f>
        <v/>
      </c>
      <c r="H495" s="6" t="str">
        <f>IF(A495 = "", "", COUNTIF('Game Record'!H:H, A495))</f>
        <v/>
      </c>
      <c r="I495" s="2">
        <f>IFERROR(__xludf.DUMMYFUNCTION("SUM(FILTER(TeamARecordSet, INDEX(TeamARecordSet, 0, 1) = A495)) + SUM(FILTER(TeamBRecordSet, INDEX(TeamBRecordSet, 0, 1) = A495))"),0.0)</f>
        <v>0</v>
      </c>
      <c r="J495" s="2">
        <f t="shared" si="2"/>
        <v>0</v>
      </c>
      <c r="K495" s="2" t="str">
        <f t="shared" si="3"/>
        <v/>
      </c>
    </row>
    <row r="496">
      <c r="A496" s="2"/>
      <c r="B496" s="7"/>
      <c r="D496" s="5" t="str">
        <f>IF(A496 = "", "", COUNTIFS('Game Record'!G:G, A496, 'Game Record'!E:E, C496))</f>
        <v/>
      </c>
      <c r="E496" s="6" t="str">
        <f>IF(A496 = "", "", COUNTIFS('Game Record'!H:H, A496, 'Game Record'!E:E, C496))</f>
        <v/>
      </c>
      <c r="F496" s="2">
        <f t="shared" si="1"/>
        <v>0</v>
      </c>
      <c r="G496" s="1" t="str">
        <f>IF(A496 = "", "", COUNTIF('Game Record'!G:G, A496))</f>
        <v/>
      </c>
      <c r="H496" s="6" t="str">
        <f>IF(A496 = "", "", COUNTIF('Game Record'!H:H, A496))</f>
        <v/>
      </c>
      <c r="I496" s="2">
        <f>IFERROR(__xludf.DUMMYFUNCTION("SUM(FILTER(TeamARecordSet, INDEX(TeamARecordSet, 0, 1) = A496)) + SUM(FILTER(TeamBRecordSet, INDEX(TeamBRecordSet, 0, 1) = A496))"),0.0)</f>
        <v>0</v>
      </c>
      <c r="J496" s="2">
        <f t="shared" si="2"/>
        <v>0</v>
      </c>
      <c r="K496" s="2" t="str">
        <f t="shared" si="3"/>
        <v/>
      </c>
    </row>
    <row r="497">
      <c r="A497" s="2"/>
      <c r="B497" s="7"/>
      <c r="D497" s="5" t="str">
        <f>IF(A497 = "", "", COUNTIFS('Game Record'!G:G, A497, 'Game Record'!E:E, C497))</f>
        <v/>
      </c>
      <c r="E497" s="6" t="str">
        <f>IF(A497 = "", "", COUNTIFS('Game Record'!H:H, A497, 'Game Record'!E:E, C497))</f>
        <v/>
      </c>
      <c r="F497" s="2">
        <f t="shared" si="1"/>
        <v>0</v>
      </c>
      <c r="G497" s="1" t="str">
        <f>IF(A497 = "", "", COUNTIF('Game Record'!G:G, A497))</f>
        <v/>
      </c>
      <c r="H497" s="6" t="str">
        <f>IF(A497 = "", "", COUNTIF('Game Record'!H:H, A497))</f>
        <v/>
      </c>
      <c r="I497" s="2">
        <f>IFERROR(__xludf.DUMMYFUNCTION("SUM(FILTER(TeamARecordSet, INDEX(TeamARecordSet, 0, 1) = A497)) + SUM(FILTER(TeamBRecordSet, INDEX(TeamBRecordSet, 0, 1) = A497))"),0.0)</f>
        <v>0</v>
      </c>
      <c r="J497" s="2">
        <f t="shared" si="2"/>
        <v>0</v>
      </c>
      <c r="K497" s="2" t="str">
        <f t="shared" si="3"/>
        <v/>
      </c>
    </row>
    <row r="498">
      <c r="A498" s="2"/>
      <c r="B498" s="7"/>
      <c r="D498" s="5" t="str">
        <f>IF(A498 = "", "", COUNTIFS('Game Record'!G:G, A498, 'Game Record'!E:E, C498))</f>
        <v/>
      </c>
      <c r="E498" s="6" t="str">
        <f>IF(A498 = "", "", COUNTIFS('Game Record'!H:H, A498, 'Game Record'!E:E, C498))</f>
        <v/>
      </c>
      <c r="F498" s="2">
        <f t="shared" si="1"/>
        <v>0</v>
      </c>
      <c r="G498" s="1" t="str">
        <f>IF(A498 = "", "", COUNTIF('Game Record'!G:G, A498))</f>
        <v/>
      </c>
      <c r="H498" s="6" t="str">
        <f>IF(A498 = "", "", COUNTIF('Game Record'!H:H, A498))</f>
        <v/>
      </c>
      <c r="I498" s="2">
        <f>IFERROR(__xludf.DUMMYFUNCTION("SUM(FILTER(TeamARecordSet, INDEX(TeamARecordSet, 0, 1) = A498)) + SUM(FILTER(TeamBRecordSet, INDEX(TeamBRecordSet, 0, 1) = A498))"),0.0)</f>
        <v>0</v>
      </c>
      <c r="J498" s="2">
        <f t="shared" si="2"/>
        <v>0</v>
      </c>
      <c r="K498" s="2" t="str">
        <f t="shared" si="3"/>
        <v/>
      </c>
    </row>
    <row r="499">
      <c r="A499" s="2"/>
      <c r="B499" s="7"/>
      <c r="D499" s="5" t="str">
        <f>IF(A499 = "", "", COUNTIFS('Game Record'!G:G, A499, 'Game Record'!E:E, C499))</f>
        <v/>
      </c>
      <c r="E499" s="6" t="str">
        <f>IF(A499 = "", "", COUNTIFS('Game Record'!H:H, A499, 'Game Record'!E:E, C499))</f>
        <v/>
      </c>
      <c r="F499" s="2">
        <f t="shared" si="1"/>
        <v>0</v>
      </c>
      <c r="G499" s="1" t="str">
        <f>IF(A499 = "", "", COUNTIF('Game Record'!G:G, A499))</f>
        <v/>
      </c>
      <c r="H499" s="6" t="str">
        <f>IF(A499 = "", "", COUNTIF('Game Record'!H:H, A499))</f>
        <v/>
      </c>
      <c r="I499" s="2">
        <f>IFERROR(__xludf.DUMMYFUNCTION("SUM(FILTER(TeamARecordSet, INDEX(TeamARecordSet, 0, 1) = A499)) + SUM(FILTER(TeamBRecordSet, INDEX(TeamBRecordSet, 0, 1) = A499))"),0.0)</f>
        <v>0</v>
      </c>
      <c r="J499" s="2">
        <f t="shared" si="2"/>
        <v>0</v>
      </c>
      <c r="K499" s="2" t="str">
        <f t="shared" si="3"/>
        <v/>
      </c>
    </row>
    <row r="500">
      <c r="A500" s="2"/>
      <c r="B500" s="7"/>
      <c r="D500" s="5" t="str">
        <f>IF(A500 = "", "", COUNTIFS('Game Record'!G:G, A500, 'Game Record'!E:E, C500))</f>
        <v/>
      </c>
      <c r="E500" s="6" t="str">
        <f>IF(A500 = "", "", COUNTIFS('Game Record'!H:H, A500, 'Game Record'!E:E, C500))</f>
        <v/>
      </c>
      <c r="F500" s="2">
        <f t="shared" si="1"/>
        <v>0</v>
      </c>
      <c r="G500" s="1" t="str">
        <f>IF(A500 = "", "", COUNTIF('Game Record'!G:G, A500))</f>
        <v/>
      </c>
      <c r="H500" s="6" t="str">
        <f>IF(A500 = "", "", COUNTIF('Game Record'!H:H, A500))</f>
        <v/>
      </c>
      <c r="I500" s="2">
        <f>IFERROR(__xludf.DUMMYFUNCTION("SUM(FILTER(TeamARecordSet, INDEX(TeamARecordSet, 0, 1) = A500)) + SUM(FILTER(TeamBRecordSet, INDEX(TeamBRecordSet, 0, 1) = A500))"),0.0)</f>
        <v>0</v>
      </c>
      <c r="J500" s="2">
        <f t="shared" si="2"/>
        <v>0</v>
      </c>
      <c r="K500" s="2" t="str">
        <f t="shared" si="3"/>
        <v/>
      </c>
    </row>
    <row r="501">
      <c r="A501" s="2"/>
      <c r="B501" s="7"/>
      <c r="D501" s="5" t="str">
        <f>IF(A501 = "", "", COUNTIFS('Game Record'!G:G, A501, 'Game Record'!E:E, C501))</f>
        <v/>
      </c>
      <c r="E501" s="6" t="str">
        <f>IF(A501 = "", "", COUNTIFS('Game Record'!H:H, A501, 'Game Record'!E:E, C501))</f>
        <v/>
      </c>
      <c r="F501" s="2">
        <f t="shared" si="1"/>
        <v>0</v>
      </c>
      <c r="G501" s="1" t="str">
        <f>IF(A501 = "", "", COUNTIF('Game Record'!G:G, A501))</f>
        <v/>
      </c>
      <c r="H501" s="6" t="str">
        <f>IF(A501 = "", "", COUNTIF('Game Record'!H:H, A501))</f>
        <v/>
      </c>
      <c r="I501" s="2">
        <f>IFERROR(__xludf.DUMMYFUNCTION("SUM(FILTER(TeamARecordSet, INDEX(TeamARecordSet, 0, 1) = A501)) + SUM(FILTER(TeamBRecordSet, INDEX(TeamBRecordSet, 0, 1) = A501))"),0.0)</f>
        <v>0</v>
      </c>
      <c r="J501" s="2">
        <f t="shared" si="2"/>
        <v>0</v>
      </c>
      <c r="K501" s="2" t="str">
        <f t="shared" si="3"/>
        <v/>
      </c>
    </row>
    <row r="502">
      <c r="A502" s="2"/>
      <c r="B502" s="7"/>
      <c r="D502" s="5" t="str">
        <f>IF(A502 = "", "", COUNTIFS('Game Record'!G:G, A502, 'Game Record'!E:E, C502))</f>
        <v/>
      </c>
      <c r="E502" s="6" t="str">
        <f>IF(A502 = "", "", COUNTIFS('Game Record'!H:H, A502, 'Game Record'!E:E, C502))</f>
        <v/>
      </c>
      <c r="F502" s="2">
        <f t="shared" si="1"/>
        <v>0</v>
      </c>
      <c r="G502" s="1" t="str">
        <f>IF(A502 = "", "", COUNTIF('Game Record'!G:G, A502))</f>
        <v/>
      </c>
      <c r="H502" s="6" t="str">
        <f>IF(A502 = "", "", COUNTIF('Game Record'!H:H, A502))</f>
        <v/>
      </c>
      <c r="I502" s="2">
        <f>IFERROR(__xludf.DUMMYFUNCTION("SUM(FILTER(TeamARecordSet, INDEX(TeamARecordSet, 0, 1) = A502)) + SUM(FILTER(TeamBRecordSet, INDEX(TeamBRecordSet, 0, 1) = A502))"),0.0)</f>
        <v>0</v>
      </c>
      <c r="J502" s="2">
        <f t="shared" si="2"/>
        <v>0</v>
      </c>
      <c r="K502" s="2" t="str">
        <f t="shared" si="3"/>
        <v/>
      </c>
    </row>
    <row r="503">
      <c r="A503" s="2"/>
      <c r="B503" s="7"/>
      <c r="D503" s="5" t="str">
        <f>IF(A503 = "", "", COUNTIFS('Game Record'!G:G, A503, 'Game Record'!E:E, C503))</f>
        <v/>
      </c>
      <c r="E503" s="6" t="str">
        <f>IF(A503 = "", "", COUNTIFS('Game Record'!H:H, A503, 'Game Record'!E:E, C503))</f>
        <v/>
      </c>
      <c r="F503" s="2">
        <f t="shared" si="1"/>
        <v>0</v>
      </c>
      <c r="G503" s="1" t="str">
        <f>IF(A503 = "", "", COUNTIF('Game Record'!G:G, A503))</f>
        <v/>
      </c>
      <c r="H503" s="6" t="str">
        <f>IF(A503 = "", "", COUNTIF('Game Record'!H:H, A503))</f>
        <v/>
      </c>
      <c r="I503" s="2">
        <f>IFERROR(__xludf.DUMMYFUNCTION("SUM(FILTER(TeamARecordSet, INDEX(TeamARecordSet, 0, 1) = A503)) + SUM(FILTER(TeamBRecordSet, INDEX(TeamBRecordSet, 0, 1) = A503))"),0.0)</f>
        <v>0</v>
      </c>
      <c r="J503" s="2">
        <f t="shared" si="2"/>
        <v>0</v>
      </c>
      <c r="K503" s="2" t="str">
        <f t="shared" si="3"/>
        <v/>
      </c>
    </row>
    <row r="504">
      <c r="A504" s="2"/>
      <c r="B504" s="7"/>
      <c r="D504" s="5" t="str">
        <f>IF(A504 = "", "", COUNTIFS('Game Record'!G:G, A504, 'Game Record'!E:E, C504))</f>
        <v/>
      </c>
      <c r="E504" s="6" t="str">
        <f>IF(A504 = "", "", COUNTIFS('Game Record'!H:H, A504, 'Game Record'!E:E, C504))</f>
        <v/>
      </c>
      <c r="F504" s="2">
        <f t="shared" si="1"/>
        <v>0</v>
      </c>
      <c r="G504" s="1" t="str">
        <f>IF(A504 = "", "", COUNTIF('Game Record'!G:G, A504))</f>
        <v/>
      </c>
      <c r="H504" s="6" t="str">
        <f>IF(A504 = "", "", COUNTIF('Game Record'!H:H, A504))</f>
        <v/>
      </c>
      <c r="I504" s="2">
        <f>IFERROR(__xludf.DUMMYFUNCTION("SUM(FILTER(TeamARecordSet, INDEX(TeamARecordSet, 0, 1) = A504)) + SUM(FILTER(TeamBRecordSet, INDEX(TeamBRecordSet, 0, 1) = A504))"),0.0)</f>
        <v>0</v>
      </c>
      <c r="J504" s="2">
        <f t="shared" si="2"/>
        <v>0</v>
      </c>
      <c r="K504" s="2" t="str">
        <f t="shared" si="3"/>
        <v/>
      </c>
    </row>
    <row r="505">
      <c r="A505" s="2"/>
      <c r="B505" s="7"/>
      <c r="D505" s="5" t="str">
        <f>IF(A505 = "", "", COUNTIFS('Game Record'!G:G, A505, 'Game Record'!E:E, C505))</f>
        <v/>
      </c>
      <c r="E505" s="6" t="str">
        <f>IF(A505 = "", "", COUNTIFS('Game Record'!H:H, A505, 'Game Record'!E:E, C505))</f>
        <v/>
      </c>
      <c r="F505" s="2">
        <f t="shared" si="1"/>
        <v>0</v>
      </c>
      <c r="G505" s="1" t="str">
        <f>IF(A505 = "", "", COUNTIF('Game Record'!G:G, A505))</f>
        <v/>
      </c>
      <c r="H505" s="6" t="str">
        <f>IF(A505 = "", "", COUNTIF('Game Record'!H:H, A505))</f>
        <v/>
      </c>
      <c r="I505" s="2">
        <f>IFERROR(__xludf.DUMMYFUNCTION("SUM(FILTER(TeamARecordSet, INDEX(TeamARecordSet, 0, 1) = A505)) + SUM(FILTER(TeamBRecordSet, INDEX(TeamBRecordSet, 0, 1) = A505))"),0.0)</f>
        <v>0</v>
      </c>
      <c r="J505" s="2">
        <f t="shared" si="2"/>
        <v>0</v>
      </c>
      <c r="K505" s="2" t="str">
        <f t="shared" si="3"/>
        <v/>
      </c>
    </row>
    <row r="506">
      <c r="A506" s="2"/>
      <c r="B506" s="7"/>
      <c r="D506" s="5" t="str">
        <f>IF(A506 = "", "", COUNTIFS('Game Record'!G:G, A506, 'Game Record'!E:E, C506))</f>
        <v/>
      </c>
      <c r="E506" s="6" t="str">
        <f>IF(A506 = "", "", COUNTIFS('Game Record'!H:H, A506, 'Game Record'!E:E, C506))</f>
        <v/>
      </c>
      <c r="F506" s="2">
        <f t="shared" si="1"/>
        <v>0</v>
      </c>
      <c r="G506" s="1" t="str">
        <f>IF(A506 = "", "", COUNTIF('Game Record'!G:G, A506))</f>
        <v/>
      </c>
      <c r="H506" s="6" t="str">
        <f>IF(A506 = "", "", COUNTIF('Game Record'!H:H, A506))</f>
        <v/>
      </c>
      <c r="I506" s="2">
        <f>IFERROR(__xludf.DUMMYFUNCTION("SUM(FILTER(TeamARecordSet, INDEX(TeamARecordSet, 0, 1) = A506)) + SUM(FILTER(TeamBRecordSet, INDEX(TeamBRecordSet, 0, 1) = A506))"),0.0)</f>
        <v>0</v>
      </c>
      <c r="J506" s="2">
        <f t="shared" si="2"/>
        <v>0</v>
      </c>
      <c r="K506" s="2" t="str">
        <f t="shared" si="3"/>
        <v/>
      </c>
    </row>
    <row r="507">
      <c r="A507" s="2"/>
      <c r="B507" s="7"/>
      <c r="D507" s="5" t="str">
        <f>IF(A507 = "", "", COUNTIFS('Game Record'!G:G, A507, 'Game Record'!E:E, C507))</f>
        <v/>
      </c>
      <c r="E507" s="6" t="str">
        <f>IF(A507 = "", "", COUNTIFS('Game Record'!H:H, A507, 'Game Record'!E:E, C507))</f>
        <v/>
      </c>
      <c r="F507" s="2">
        <f t="shared" si="1"/>
        <v>0</v>
      </c>
      <c r="G507" s="1" t="str">
        <f>IF(A507 = "", "", COUNTIF('Game Record'!G:G, A507))</f>
        <v/>
      </c>
      <c r="H507" s="6" t="str">
        <f>IF(A507 = "", "", COUNTIF('Game Record'!H:H, A507))</f>
        <v/>
      </c>
      <c r="I507" s="2">
        <f>IFERROR(__xludf.DUMMYFUNCTION("SUM(FILTER(TeamARecordSet, INDEX(TeamARecordSet, 0, 1) = A507)) + SUM(FILTER(TeamBRecordSet, INDEX(TeamBRecordSet, 0, 1) = A507))"),0.0)</f>
        <v>0</v>
      </c>
      <c r="J507" s="2">
        <f t="shared" si="2"/>
        <v>0</v>
      </c>
      <c r="K507" s="2" t="str">
        <f t="shared" si="3"/>
        <v/>
      </c>
    </row>
    <row r="508">
      <c r="A508" s="2"/>
      <c r="B508" s="7"/>
      <c r="D508" s="5" t="str">
        <f>IF(A508 = "", "", COUNTIFS('Game Record'!G:G, A508, 'Game Record'!E:E, C508))</f>
        <v/>
      </c>
      <c r="E508" s="6" t="str">
        <f>IF(A508 = "", "", COUNTIFS('Game Record'!H:H, A508, 'Game Record'!E:E, C508))</f>
        <v/>
      </c>
      <c r="F508" s="2">
        <f t="shared" si="1"/>
        <v>0</v>
      </c>
      <c r="G508" s="1" t="str">
        <f>IF(A508 = "", "", COUNTIF('Game Record'!G:G, A508))</f>
        <v/>
      </c>
      <c r="H508" s="6" t="str">
        <f>IF(A508 = "", "", COUNTIF('Game Record'!H:H, A508))</f>
        <v/>
      </c>
      <c r="I508" s="2">
        <f>IFERROR(__xludf.DUMMYFUNCTION("SUM(FILTER(TeamARecordSet, INDEX(TeamARecordSet, 0, 1) = A508)) + SUM(FILTER(TeamBRecordSet, INDEX(TeamBRecordSet, 0, 1) = A508))"),0.0)</f>
        <v>0</v>
      </c>
      <c r="J508" s="2">
        <f t="shared" si="2"/>
        <v>0</v>
      </c>
      <c r="K508" s="2" t="str">
        <f t="shared" si="3"/>
        <v/>
      </c>
    </row>
    <row r="509">
      <c r="A509" s="2"/>
      <c r="B509" s="7"/>
      <c r="D509" s="5" t="str">
        <f>IF(A509 = "", "", COUNTIFS('Game Record'!G:G, A509, 'Game Record'!E:E, C509))</f>
        <v/>
      </c>
      <c r="E509" s="6" t="str">
        <f>IF(A509 = "", "", COUNTIFS('Game Record'!H:H, A509, 'Game Record'!E:E, C509))</f>
        <v/>
      </c>
      <c r="F509" s="2">
        <f t="shared" si="1"/>
        <v>0</v>
      </c>
      <c r="G509" s="1" t="str">
        <f>IF(A509 = "", "", COUNTIF('Game Record'!G:G, A509))</f>
        <v/>
      </c>
      <c r="H509" s="6" t="str">
        <f>IF(A509 = "", "", COUNTIF('Game Record'!H:H, A509))</f>
        <v/>
      </c>
      <c r="I509" s="2">
        <f>IFERROR(__xludf.DUMMYFUNCTION("SUM(FILTER(TeamARecordSet, INDEX(TeamARecordSet, 0, 1) = A509)) + SUM(FILTER(TeamBRecordSet, INDEX(TeamBRecordSet, 0, 1) = A509))"),0.0)</f>
        <v>0</v>
      </c>
      <c r="J509" s="2">
        <f t="shared" si="2"/>
        <v>0</v>
      </c>
      <c r="K509" s="2" t="str">
        <f t="shared" si="3"/>
        <v/>
      </c>
    </row>
    <row r="510">
      <c r="A510" s="2"/>
      <c r="B510" s="7"/>
      <c r="D510" s="5" t="str">
        <f>IF(A510 = "", "", COUNTIFS('Game Record'!G:G, A510, 'Game Record'!E:E, C510))</f>
        <v/>
      </c>
      <c r="E510" s="6" t="str">
        <f>IF(A510 = "", "", COUNTIFS('Game Record'!H:H, A510, 'Game Record'!E:E, C510))</f>
        <v/>
      </c>
      <c r="F510" s="2">
        <f t="shared" si="1"/>
        <v>0</v>
      </c>
      <c r="G510" s="1" t="str">
        <f>IF(A510 = "", "", COUNTIF('Game Record'!G:G, A510))</f>
        <v/>
      </c>
      <c r="H510" s="6" t="str">
        <f>IF(A510 = "", "", COUNTIF('Game Record'!H:H, A510))</f>
        <v/>
      </c>
      <c r="I510" s="2">
        <f>IFERROR(__xludf.DUMMYFUNCTION("SUM(FILTER(TeamARecordSet, INDEX(TeamARecordSet, 0, 1) = A510)) + SUM(FILTER(TeamBRecordSet, INDEX(TeamBRecordSet, 0, 1) = A510))"),0.0)</f>
        <v>0</v>
      </c>
      <c r="J510" s="2">
        <f t="shared" si="2"/>
        <v>0</v>
      </c>
      <c r="K510" s="2" t="str">
        <f t="shared" si="3"/>
        <v/>
      </c>
    </row>
    <row r="511">
      <c r="A511" s="2"/>
      <c r="B511" s="7"/>
      <c r="D511" s="5" t="str">
        <f>IF(A511 = "", "", COUNTIFS('Game Record'!G:G, A511, 'Game Record'!E:E, C511))</f>
        <v/>
      </c>
      <c r="E511" s="6" t="str">
        <f>IF(A511 = "", "", COUNTIFS('Game Record'!H:H, A511, 'Game Record'!E:E, C511))</f>
        <v/>
      </c>
      <c r="F511" s="2">
        <f t="shared" si="1"/>
        <v>0</v>
      </c>
      <c r="G511" s="1" t="str">
        <f>IF(A511 = "", "", COUNTIF('Game Record'!G:G, A511))</f>
        <v/>
      </c>
      <c r="H511" s="6" t="str">
        <f>IF(A511 = "", "", COUNTIF('Game Record'!H:H, A511))</f>
        <v/>
      </c>
      <c r="I511" s="2">
        <f>IFERROR(__xludf.DUMMYFUNCTION("SUM(FILTER(TeamARecordSet, INDEX(TeamARecordSet, 0, 1) = A511)) + SUM(FILTER(TeamBRecordSet, INDEX(TeamBRecordSet, 0, 1) = A511))"),0.0)</f>
        <v>0</v>
      </c>
      <c r="J511" s="2">
        <f t="shared" si="2"/>
        <v>0</v>
      </c>
      <c r="K511" s="2" t="str">
        <f t="shared" si="3"/>
        <v/>
      </c>
    </row>
    <row r="512">
      <c r="A512" s="2"/>
      <c r="B512" s="7"/>
      <c r="D512" s="5" t="str">
        <f>IF(A512 = "", "", COUNTIFS('Game Record'!G:G, A512, 'Game Record'!E:E, C512))</f>
        <v/>
      </c>
      <c r="E512" s="6" t="str">
        <f>IF(A512 = "", "", COUNTIFS('Game Record'!H:H, A512, 'Game Record'!E:E, C512))</f>
        <v/>
      </c>
      <c r="F512" s="2">
        <f t="shared" si="1"/>
        <v>0</v>
      </c>
      <c r="G512" s="1" t="str">
        <f>IF(A512 = "", "", COUNTIF('Game Record'!G:G, A512))</f>
        <v/>
      </c>
      <c r="H512" s="6" t="str">
        <f>IF(A512 = "", "", COUNTIF('Game Record'!H:H, A512))</f>
        <v/>
      </c>
      <c r="I512" s="2">
        <f>IFERROR(__xludf.DUMMYFUNCTION("SUM(FILTER(TeamARecordSet, INDEX(TeamARecordSet, 0, 1) = A512)) + SUM(FILTER(TeamBRecordSet, INDEX(TeamBRecordSet, 0, 1) = A512))"),0.0)</f>
        <v>0</v>
      </c>
      <c r="J512" s="2">
        <f t="shared" si="2"/>
        <v>0</v>
      </c>
      <c r="K512" s="2" t="str">
        <f t="shared" si="3"/>
        <v/>
      </c>
    </row>
    <row r="513">
      <c r="A513" s="2"/>
      <c r="B513" s="7"/>
      <c r="D513" s="5" t="str">
        <f>IF(A513 = "", "", COUNTIFS('Game Record'!G:G, A513, 'Game Record'!E:E, C513))</f>
        <v/>
      </c>
      <c r="E513" s="6" t="str">
        <f>IF(A513 = "", "", COUNTIFS('Game Record'!H:H, A513, 'Game Record'!E:E, C513))</f>
        <v/>
      </c>
      <c r="F513" s="2">
        <f t="shared" si="1"/>
        <v>0</v>
      </c>
      <c r="G513" s="1" t="str">
        <f>IF(A513 = "", "", COUNTIF('Game Record'!G:G, A513))</f>
        <v/>
      </c>
      <c r="H513" s="6" t="str">
        <f>IF(A513 = "", "", COUNTIF('Game Record'!H:H, A513))</f>
        <v/>
      </c>
      <c r="I513" s="2">
        <f>IFERROR(__xludf.DUMMYFUNCTION("SUM(FILTER(TeamARecordSet, INDEX(TeamARecordSet, 0, 1) = A513)) + SUM(FILTER(TeamBRecordSet, INDEX(TeamBRecordSet, 0, 1) = A513))"),0.0)</f>
        <v>0</v>
      </c>
      <c r="J513" s="2">
        <f t="shared" si="2"/>
        <v>0</v>
      </c>
      <c r="K513" s="2" t="str">
        <f t="shared" si="3"/>
        <v/>
      </c>
    </row>
    <row r="514">
      <c r="A514" s="2"/>
      <c r="B514" s="7"/>
      <c r="D514" s="5" t="str">
        <f>IF(A514 = "", "", COUNTIFS('Game Record'!G:G, A514, 'Game Record'!E:E, C514))</f>
        <v/>
      </c>
      <c r="E514" s="6" t="str">
        <f>IF(A514 = "", "", COUNTIFS('Game Record'!H:H, A514, 'Game Record'!E:E, C514))</f>
        <v/>
      </c>
      <c r="F514" s="2">
        <f t="shared" si="1"/>
        <v>0</v>
      </c>
      <c r="G514" s="1" t="str">
        <f>IF(A514 = "", "", COUNTIF('Game Record'!G:G, A514))</f>
        <v/>
      </c>
      <c r="H514" s="6" t="str">
        <f>IF(A514 = "", "", COUNTIF('Game Record'!H:H, A514))</f>
        <v/>
      </c>
      <c r="I514" s="2">
        <f>IFERROR(__xludf.DUMMYFUNCTION("SUM(FILTER(TeamARecordSet, INDEX(TeamARecordSet, 0, 1) = A514)) + SUM(FILTER(TeamBRecordSet, INDEX(TeamBRecordSet, 0, 1) = A514))"),0.0)</f>
        <v>0</v>
      </c>
      <c r="J514" s="2">
        <f t="shared" si="2"/>
        <v>0</v>
      </c>
      <c r="K514" s="2" t="str">
        <f t="shared" si="3"/>
        <v/>
      </c>
    </row>
    <row r="515">
      <c r="A515" s="2"/>
      <c r="B515" s="7"/>
      <c r="D515" s="5" t="str">
        <f>IF(A515 = "", "", COUNTIFS('Game Record'!G:G, A515, 'Game Record'!E:E, C515))</f>
        <v/>
      </c>
      <c r="E515" s="6" t="str">
        <f>IF(A515 = "", "", COUNTIFS('Game Record'!H:H, A515, 'Game Record'!E:E, C515))</f>
        <v/>
      </c>
      <c r="F515" s="2">
        <f t="shared" si="1"/>
        <v>0</v>
      </c>
      <c r="G515" s="1" t="str">
        <f>IF(A515 = "", "", COUNTIF('Game Record'!G:G, A515))</f>
        <v/>
      </c>
      <c r="H515" s="6" t="str">
        <f>IF(A515 = "", "", COUNTIF('Game Record'!H:H, A515))</f>
        <v/>
      </c>
      <c r="I515" s="2">
        <f>IFERROR(__xludf.DUMMYFUNCTION("SUM(FILTER(TeamARecordSet, INDEX(TeamARecordSet, 0, 1) = A515)) + SUM(FILTER(TeamBRecordSet, INDEX(TeamBRecordSet, 0, 1) = A515))"),0.0)</f>
        <v>0</v>
      </c>
      <c r="J515" s="2">
        <f t="shared" si="2"/>
        <v>0</v>
      </c>
      <c r="K515" s="2" t="str">
        <f t="shared" si="3"/>
        <v/>
      </c>
    </row>
    <row r="516">
      <c r="A516" s="2"/>
      <c r="B516" s="7"/>
      <c r="D516" s="5" t="str">
        <f>IF(A516 = "", "", COUNTIFS('Game Record'!G:G, A516, 'Game Record'!E:E, C516))</f>
        <v/>
      </c>
      <c r="E516" s="6" t="str">
        <f>IF(A516 = "", "", COUNTIFS('Game Record'!H:H, A516, 'Game Record'!E:E, C516))</f>
        <v/>
      </c>
      <c r="F516" s="2">
        <f t="shared" si="1"/>
        <v>0</v>
      </c>
      <c r="G516" s="1" t="str">
        <f>IF(A516 = "", "", COUNTIF('Game Record'!G:G, A516))</f>
        <v/>
      </c>
      <c r="H516" s="6" t="str">
        <f>IF(A516 = "", "", COUNTIF('Game Record'!H:H, A516))</f>
        <v/>
      </c>
      <c r="I516" s="2">
        <f>IFERROR(__xludf.DUMMYFUNCTION("SUM(FILTER(TeamARecordSet, INDEX(TeamARecordSet, 0, 1) = A516)) + SUM(FILTER(TeamBRecordSet, INDEX(TeamBRecordSet, 0, 1) = A516))"),0.0)</f>
        <v>0</v>
      </c>
      <c r="J516" s="2">
        <f t="shared" si="2"/>
        <v>0</v>
      </c>
      <c r="K516" s="2" t="str">
        <f t="shared" si="3"/>
        <v/>
      </c>
    </row>
    <row r="517">
      <c r="A517" s="2"/>
      <c r="B517" s="7"/>
      <c r="D517" s="5" t="str">
        <f>IF(A517 = "", "", COUNTIFS('Game Record'!G:G, A517, 'Game Record'!E:E, C517))</f>
        <v/>
      </c>
      <c r="E517" s="6" t="str">
        <f>IF(A517 = "", "", COUNTIFS('Game Record'!H:H, A517, 'Game Record'!E:E, C517))</f>
        <v/>
      </c>
      <c r="F517" s="2">
        <f t="shared" si="1"/>
        <v>0</v>
      </c>
      <c r="G517" s="1" t="str">
        <f>IF(A517 = "", "", COUNTIF('Game Record'!G:G, A517))</f>
        <v/>
      </c>
      <c r="H517" s="6" t="str">
        <f>IF(A517 = "", "", COUNTIF('Game Record'!H:H, A517))</f>
        <v/>
      </c>
      <c r="I517" s="2">
        <f>IFERROR(__xludf.DUMMYFUNCTION("SUM(FILTER(TeamARecordSet, INDEX(TeamARecordSet, 0, 1) = A517)) + SUM(FILTER(TeamBRecordSet, INDEX(TeamBRecordSet, 0, 1) = A517))"),0.0)</f>
        <v>0</v>
      </c>
      <c r="J517" s="2">
        <f t="shared" si="2"/>
        <v>0</v>
      </c>
      <c r="K517" s="2" t="str">
        <f t="shared" si="3"/>
        <v/>
      </c>
    </row>
    <row r="518">
      <c r="A518" s="2"/>
      <c r="B518" s="7"/>
      <c r="D518" s="5" t="str">
        <f>IF(A518 = "", "", COUNTIFS('Game Record'!G:G, A518, 'Game Record'!E:E, C518))</f>
        <v/>
      </c>
      <c r="E518" s="6" t="str">
        <f>IF(A518 = "", "", COUNTIFS('Game Record'!H:H, A518, 'Game Record'!E:E, C518))</f>
        <v/>
      </c>
      <c r="F518" s="2">
        <f t="shared" si="1"/>
        <v>0</v>
      </c>
      <c r="G518" s="1" t="str">
        <f>IF(A518 = "", "", COUNTIF('Game Record'!G:G, A518))</f>
        <v/>
      </c>
      <c r="H518" s="6" t="str">
        <f>IF(A518 = "", "", COUNTIF('Game Record'!H:H, A518))</f>
        <v/>
      </c>
      <c r="I518" s="2">
        <f>IFERROR(__xludf.DUMMYFUNCTION("SUM(FILTER(TeamARecordSet, INDEX(TeamARecordSet, 0, 1) = A518)) + SUM(FILTER(TeamBRecordSet, INDEX(TeamBRecordSet, 0, 1) = A518))"),0.0)</f>
        <v>0</v>
      </c>
      <c r="J518" s="2">
        <f t="shared" si="2"/>
        <v>0</v>
      </c>
      <c r="K518" s="2" t="str">
        <f t="shared" si="3"/>
        <v/>
      </c>
    </row>
    <row r="519">
      <c r="A519" s="2"/>
      <c r="B519" s="7"/>
      <c r="D519" s="5" t="str">
        <f>IF(A519 = "", "", COUNTIFS('Game Record'!G:G, A519, 'Game Record'!E:E, C519))</f>
        <v/>
      </c>
      <c r="E519" s="6" t="str">
        <f>IF(A519 = "", "", COUNTIFS('Game Record'!H:H, A519, 'Game Record'!E:E, C519))</f>
        <v/>
      </c>
      <c r="F519" s="2">
        <f t="shared" si="1"/>
        <v>0</v>
      </c>
      <c r="G519" s="1" t="str">
        <f>IF(A519 = "", "", COUNTIF('Game Record'!G:G, A519))</f>
        <v/>
      </c>
      <c r="H519" s="6" t="str">
        <f>IF(A519 = "", "", COUNTIF('Game Record'!H:H, A519))</f>
        <v/>
      </c>
      <c r="I519" s="2">
        <f>IFERROR(__xludf.DUMMYFUNCTION("SUM(FILTER(TeamARecordSet, INDEX(TeamARecordSet, 0, 1) = A519)) + SUM(FILTER(TeamBRecordSet, INDEX(TeamBRecordSet, 0, 1) = A519))"),0.0)</f>
        <v>0</v>
      </c>
      <c r="J519" s="2">
        <f t="shared" si="2"/>
        <v>0</v>
      </c>
      <c r="K519" s="2" t="str">
        <f t="shared" si="3"/>
        <v/>
      </c>
    </row>
    <row r="520">
      <c r="A520" s="2"/>
      <c r="B520" s="7"/>
      <c r="D520" s="5" t="str">
        <f>IF(A520 = "", "", COUNTIFS('Game Record'!G:G, A520, 'Game Record'!E:E, C520))</f>
        <v/>
      </c>
      <c r="E520" s="6" t="str">
        <f>IF(A520 = "", "", COUNTIFS('Game Record'!H:H, A520, 'Game Record'!E:E, C520))</f>
        <v/>
      </c>
      <c r="F520" s="2">
        <f t="shared" si="1"/>
        <v>0</v>
      </c>
      <c r="G520" s="1" t="str">
        <f>IF(A520 = "", "", COUNTIF('Game Record'!G:G, A520))</f>
        <v/>
      </c>
      <c r="H520" s="6" t="str">
        <f>IF(A520 = "", "", COUNTIF('Game Record'!H:H, A520))</f>
        <v/>
      </c>
      <c r="I520" s="2">
        <f>IFERROR(__xludf.DUMMYFUNCTION("SUM(FILTER(TeamARecordSet, INDEX(TeamARecordSet, 0, 1) = A520)) + SUM(FILTER(TeamBRecordSet, INDEX(TeamBRecordSet, 0, 1) = A520))"),0.0)</f>
        <v>0</v>
      </c>
      <c r="J520" s="2">
        <f t="shared" si="2"/>
        <v>0</v>
      </c>
      <c r="K520" s="2" t="str">
        <f t="shared" si="3"/>
        <v/>
      </c>
    </row>
    <row r="521">
      <c r="A521" s="2"/>
      <c r="B521" s="7"/>
      <c r="D521" s="5" t="str">
        <f>IF(A521 = "", "", COUNTIFS('Game Record'!G:G, A521, 'Game Record'!E:E, C521))</f>
        <v/>
      </c>
      <c r="E521" s="6" t="str">
        <f>IF(A521 = "", "", COUNTIFS('Game Record'!H:H, A521, 'Game Record'!E:E, C521))</f>
        <v/>
      </c>
      <c r="F521" s="2">
        <f t="shared" si="1"/>
        <v>0</v>
      </c>
      <c r="G521" s="1" t="str">
        <f>IF(A521 = "", "", COUNTIF('Game Record'!G:G, A521))</f>
        <v/>
      </c>
      <c r="H521" s="6" t="str">
        <f>IF(A521 = "", "", COUNTIF('Game Record'!H:H, A521))</f>
        <v/>
      </c>
      <c r="I521" s="2">
        <f>IFERROR(__xludf.DUMMYFUNCTION("SUM(FILTER(TeamARecordSet, INDEX(TeamARecordSet, 0, 1) = A521)) + SUM(FILTER(TeamBRecordSet, INDEX(TeamBRecordSet, 0, 1) = A521))"),0.0)</f>
        <v>0</v>
      </c>
      <c r="J521" s="2">
        <f t="shared" si="2"/>
        <v>0</v>
      </c>
      <c r="K521" s="2" t="str">
        <f t="shared" si="3"/>
        <v/>
      </c>
    </row>
    <row r="522">
      <c r="A522" s="2"/>
      <c r="B522" s="7"/>
      <c r="D522" s="5" t="str">
        <f>IF(A522 = "", "", COUNTIFS('Game Record'!G:G, A522, 'Game Record'!E:E, C522))</f>
        <v/>
      </c>
      <c r="E522" s="6" t="str">
        <f>IF(A522 = "", "", COUNTIFS('Game Record'!H:H, A522, 'Game Record'!E:E, C522))</f>
        <v/>
      </c>
      <c r="F522" s="2">
        <f t="shared" si="1"/>
        <v>0</v>
      </c>
      <c r="G522" s="1" t="str">
        <f>IF(A522 = "", "", COUNTIF('Game Record'!G:G, A522))</f>
        <v/>
      </c>
      <c r="H522" s="6" t="str">
        <f>IF(A522 = "", "", COUNTIF('Game Record'!H:H, A522))</f>
        <v/>
      </c>
      <c r="I522" s="2">
        <f>IFERROR(__xludf.DUMMYFUNCTION("SUM(FILTER(TeamARecordSet, INDEX(TeamARecordSet, 0, 1) = A522)) + SUM(FILTER(TeamBRecordSet, INDEX(TeamBRecordSet, 0, 1) = A522))"),0.0)</f>
        <v>0</v>
      </c>
      <c r="J522" s="2">
        <f t="shared" si="2"/>
        <v>0</v>
      </c>
      <c r="K522" s="2" t="str">
        <f t="shared" si="3"/>
        <v/>
      </c>
    </row>
    <row r="523">
      <c r="A523" s="2"/>
      <c r="B523" s="7"/>
      <c r="D523" s="5" t="str">
        <f>IF(A523 = "", "", COUNTIFS('Game Record'!G:G, A523, 'Game Record'!E:E, C523))</f>
        <v/>
      </c>
      <c r="E523" s="6" t="str">
        <f>IF(A523 = "", "", COUNTIFS('Game Record'!H:H, A523, 'Game Record'!E:E, C523))</f>
        <v/>
      </c>
      <c r="F523" s="2">
        <f t="shared" si="1"/>
        <v>0</v>
      </c>
      <c r="G523" s="1" t="str">
        <f>IF(A523 = "", "", COUNTIF('Game Record'!G:G, A523))</f>
        <v/>
      </c>
      <c r="H523" s="6" t="str">
        <f>IF(A523 = "", "", COUNTIF('Game Record'!H:H, A523))</f>
        <v/>
      </c>
      <c r="I523" s="2">
        <f>IFERROR(__xludf.DUMMYFUNCTION("SUM(FILTER(TeamARecordSet, INDEX(TeamARecordSet, 0, 1) = A523)) + SUM(FILTER(TeamBRecordSet, INDEX(TeamBRecordSet, 0, 1) = A523))"),0.0)</f>
        <v>0</v>
      </c>
      <c r="J523" s="2">
        <f t="shared" si="2"/>
        <v>0</v>
      </c>
      <c r="K523" s="2" t="str">
        <f t="shared" si="3"/>
        <v/>
      </c>
    </row>
    <row r="524">
      <c r="A524" s="2"/>
      <c r="B524" s="7"/>
      <c r="D524" s="5" t="str">
        <f>IF(A524 = "", "", COUNTIFS('Game Record'!G:G, A524, 'Game Record'!E:E, C524))</f>
        <v/>
      </c>
      <c r="E524" s="6" t="str">
        <f>IF(A524 = "", "", COUNTIFS('Game Record'!H:H, A524, 'Game Record'!E:E, C524))</f>
        <v/>
      </c>
      <c r="F524" s="2">
        <f t="shared" si="1"/>
        <v>0</v>
      </c>
      <c r="G524" s="1" t="str">
        <f>IF(A524 = "", "", COUNTIF('Game Record'!G:G, A524))</f>
        <v/>
      </c>
      <c r="H524" s="6" t="str">
        <f>IF(A524 = "", "", COUNTIF('Game Record'!H:H, A524))</f>
        <v/>
      </c>
      <c r="I524" s="2">
        <f>IFERROR(__xludf.DUMMYFUNCTION("SUM(FILTER(TeamARecordSet, INDEX(TeamARecordSet, 0, 1) = A524)) + SUM(FILTER(TeamBRecordSet, INDEX(TeamBRecordSet, 0, 1) = A524))"),0.0)</f>
        <v>0</v>
      </c>
      <c r="J524" s="2">
        <f t="shared" si="2"/>
        <v>0</v>
      </c>
      <c r="K524" s="2" t="str">
        <f t="shared" si="3"/>
        <v/>
      </c>
    </row>
    <row r="525">
      <c r="A525" s="2"/>
      <c r="B525" s="7"/>
      <c r="D525" s="5" t="str">
        <f>IF(A525 = "", "", COUNTIFS('Game Record'!G:G, A525, 'Game Record'!E:E, C525))</f>
        <v/>
      </c>
      <c r="E525" s="6" t="str">
        <f>IF(A525 = "", "", COUNTIFS('Game Record'!H:H, A525, 'Game Record'!E:E, C525))</f>
        <v/>
      </c>
      <c r="F525" s="2">
        <f t="shared" si="1"/>
        <v>0</v>
      </c>
      <c r="G525" s="1" t="str">
        <f>IF(A525 = "", "", COUNTIF('Game Record'!G:G, A525))</f>
        <v/>
      </c>
      <c r="H525" s="6" t="str">
        <f>IF(A525 = "", "", COUNTIF('Game Record'!H:H, A525))</f>
        <v/>
      </c>
      <c r="I525" s="2">
        <f>IFERROR(__xludf.DUMMYFUNCTION("SUM(FILTER(TeamARecordSet, INDEX(TeamARecordSet, 0, 1) = A525)) + SUM(FILTER(TeamBRecordSet, INDEX(TeamBRecordSet, 0, 1) = A525))"),0.0)</f>
        <v>0</v>
      </c>
      <c r="J525" s="2">
        <f t="shared" si="2"/>
        <v>0</v>
      </c>
      <c r="K525" s="2" t="str">
        <f t="shared" si="3"/>
        <v/>
      </c>
    </row>
    <row r="526">
      <c r="A526" s="2"/>
      <c r="B526" s="7"/>
      <c r="D526" s="5" t="str">
        <f>IF(A526 = "", "", COUNTIFS('Game Record'!G:G, A526, 'Game Record'!E:E, C526))</f>
        <v/>
      </c>
      <c r="E526" s="6" t="str">
        <f>IF(A526 = "", "", COUNTIFS('Game Record'!H:H, A526, 'Game Record'!E:E, C526))</f>
        <v/>
      </c>
      <c r="F526" s="2">
        <f t="shared" si="1"/>
        <v>0</v>
      </c>
      <c r="G526" s="1" t="str">
        <f>IF(A526 = "", "", COUNTIF('Game Record'!G:G, A526))</f>
        <v/>
      </c>
      <c r="H526" s="6" t="str">
        <f>IF(A526 = "", "", COUNTIF('Game Record'!H:H, A526))</f>
        <v/>
      </c>
      <c r="I526" s="2">
        <f>IFERROR(__xludf.DUMMYFUNCTION("SUM(FILTER(TeamARecordSet, INDEX(TeamARecordSet, 0, 1) = A526)) + SUM(FILTER(TeamBRecordSet, INDEX(TeamBRecordSet, 0, 1) = A526))"),0.0)</f>
        <v>0</v>
      </c>
      <c r="J526" s="2">
        <f t="shared" si="2"/>
        <v>0</v>
      </c>
      <c r="K526" s="2" t="str">
        <f t="shared" si="3"/>
        <v/>
      </c>
    </row>
    <row r="527">
      <c r="A527" s="2"/>
      <c r="B527" s="7"/>
      <c r="D527" s="5" t="str">
        <f>IF(A527 = "", "", COUNTIFS('Game Record'!G:G, A527, 'Game Record'!E:E, C527))</f>
        <v/>
      </c>
      <c r="E527" s="6" t="str">
        <f>IF(A527 = "", "", COUNTIFS('Game Record'!H:H, A527, 'Game Record'!E:E, C527))</f>
        <v/>
      </c>
      <c r="F527" s="2">
        <f t="shared" si="1"/>
        <v>0</v>
      </c>
      <c r="G527" s="1" t="str">
        <f>IF(A527 = "", "", COUNTIF('Game Record'!G:G, A527))</f>
        <v/>
      </c>
      <c r="H527" s="6" t="str">
        <f>IF(A527 = "", "", COUNTIF('Game Record'!H:H, A527))</f>
        <v/>
      </c>
      <c r="I527" s="2">
        <f>IFERROR(__xludf.DUMMYFUNCTION("SUM(FILTER(TeamARecordSet, INDEX(TeamARecordSet, 0, 1) = A527)) + SUM(FILTER(TeamBRecordSet, INDEX(TeamBRecordSet, 0, 1) = A527))"),0.0)</f>
        <v>0</v>
      </c>
      <c r="J527" s="2">
        <f t="shared" si="2"/>
        <v>0</v>
      </c>
      <c r="K527" s="2" t="str">
        <f t="shared" si="3"/>
        <v/>
      </c>
    </row>
    <row r="528">
      <c r="A528" s="2"/>
      <c r="B528" s="7"/>
      <c r="D528" s="5" t="str">
        <f>IF(A528 = "", "", COUNTIFS('Game Record'!G:G, A528, 'Game Record'!E:E, C528))</f>
        <v/>
      </c>
      <c r="E528" s="6" t="str">
        <f>IF(A528 = "", "", COUNTIFS('Game Record'!H:H, A528, 'Game Record'!E:E, C528))</f>
        <v/>
      </c>
      <c r="F528" s="2">
        <f t="shared" si="1"/>
        <v>0</v>
      </c>
      <c r="G528" s="1" t="str">
        <f>IF(A528 = "", "", COUNTIF('Game Record'!G:G, A528))</f>
        <v/>
      </c>
      <c r="H528" s="6" t="str">
        <f>IF(A528 = "", "", COUNTIF('Game Record'!H:H, A528))</f>
        <v/>
      </c>
      <c r="I528" s="2">
        <f>IFERROR(__xludf.DUMMYFUNCTION("SUM(FILTER(TeamARecordSet, INDEX(TeamARecordSet, 0, 1) = A528)) + SUM(FILTER(TeamBRecordSet, INDEX(TeamBRecordSet, 0, 1) = A528))"),0.0)</f>
        <v>0</v>
      </c>
      <c r="J528" s="2">
        <f t="shared" si="2"/>
        <v>0</v>
      </c>
      <c r="K528" s="2" t="str">
        <f t="shared" si="3"/>
        <v/>
      </c>
    </row>
    <row r="529">
      <c r="A529" s="2"/>
      <c r="B529" s="7"/>
      <c r="D529" s="5" t="str">
        <f>IF(A529 = "", "", COUNTIFS('Game Record'!G:G, A529, 'Game Record'!E:E, C529))</f>
        <v/>
      </c>
      <c r="E529" s="6" t="str">
        <f>IF(A529 = "", "", COUNTIFS('Game Record'!H:H, A529, 'Game Record'!E:E, C529))</f>
        <v/>
      </c>
      <c r="F529" s="2">
        <f t="shared" si="1"/>
        <v>0</v>
      </c>
      <c r="G529" s="1" t="str">
        <f>IF(A529 = "", "", COUNTIF('Game Record'!G:G, A529))</f>
        <v/>
      </c>
      <c r="H529" s="6" t="str">
        <f>IF(A529 = "", "", COUNTIF('Game Record'!H:H, A529))</f>
        <v/>
      </c>
      <c r="I529" s="2">
        <f>IFERROR(__xludf.DUMMYFUNCTION("SUM(FILTER(TeamARecordSet, INDEX(TeamARecordSet, 0, 1) = A529)) + SUM(FILTER(TeamBRecordSet, INDEX(TeamBRecordSet, 0, 1) = A529))"),0.0)</f>
        <v>0</v>
      </c>
      <c r="J529" s="2">
        <f t="shared" si="2"/>
        <v>0</v>
      </c>
      <c r="K529" s="2" t="str">
        <f t="shared" si="3"/>
        <v/>
      </c>
    </row>
    <row r="530">
      <c r="A530" s="2"/>
      <c r="B530" s="7"/>
      <c r="D530" s="5" t="str">
        <f>IF(A530 = "", "", COUNTIFS('Game Record'!G:G, A530, 'Game Record'!E:E, C530))</f>
        <v/>
      </c>
      <c r="E530" s="6" t="str">
        <f>IF(A530 = "", "", COUNTIFS('Game Record'!H:H, A530, 'Game Record'!E:E, C530))</f>
        <v/>
      </c>
      <c r="F530" s="2">
        <f t="shared" si="1"/>
        <v>0</v>
      </c>
      <c r="G530" s="1" t="str">
        <f>IF(A530 = "", "", COUNTIF('Game Record'!G:G, A530))</f>
        <v/>
      </c>
      <c r="H530" s="6" t="str">
        <f>IF(A530 = "", "", COUNTIF('Game Record'!H:H, A530))</f>
        <v/>
      </c>
      <c r="I530" s="2">
        <f>IFERROR(__xludf.DUMMYFUNCTION("SUM(FILTER(TeamARecordSet, INDEX(TeamARecordSet, 0, 1) = A530)) + SUM(FILTER(TeamBRecordSet, INDEX(TeamBRecordSet, 0, 1) = A530))"),0.0)</f>
        <v>0</v>
      </c>
      <c r="J530" s="2">
        <f t="shared" si="2"/>
        <v>0</v>
      </c>
      <c r="K530" s="2" t="str">
        <f t="shared" si="3"/>
        <v/>
      </c>
    </row>
    <row r="531">
      <c r="A531" s="2"/>
      <c r="B531" s="7"/>
      <c r="D531" s="5" t="str">
        <f>IF(A531 = "", "", COUNTIFS('Game Record'!G:G, A531, 'Game Record'!E:E, C531))</f>
        <v/>
      </c>
      <c r="E531" s="6" t="str">
        <f>IF(A531 = "", "", COUNTIFS('Game Record'!H:H, A531, 'Game Record'!E:E, C531))</f>
        <v/>
      </c>
      <c r="F531" s="2">
        <f t="shared" si="1"/>
        <v>0</v>
      </c>
      <c r="G531" s="1" t="str">
        <f>IF(A531 = "", "", COUNTIF('Game Record'!G:G, A531))</f>
        <v/>
      </c>
      <c r="H531" s="6" t="str">
        <f>IF(A531 = "", "", COUNTIF('Game Record'!H:H, A531))</f>
        <v/>
      </c>
      <c r="I531" s="2">
        <f>IFERROR(__xludf.DUMMYFUNCTION("SUM(FILTER(TeamARecordSet, INDEX(TeamARecordSet, 0, 1) = A531)) + SUM(FILTER(TeamBRecordSet, INDEX(TeamBRecordSet, 0, 1) = A531))"),0.0)</f>
        <v>0</v>
      </c>
      <c r="J531" s="2">
        <f t="shared" si="2"/>
        <v>0</v>
      </c>
      <c r="K531" s="2" t="str">
        <f t="shared" si="3"/>
        <v/>
      </c>
    </row>
    <row r="532">
      <c r="A532" s="2"/>
      <c r="B532" s="7"/>
      <c r="D532" s="5" t="str">
        <f>IF(A532 = "", "", COUNTIFS('Game Record'!G:G, A532, 'Game Record'!E:E, C532))</f>
        <v/>
      </c>
      <c r="E532" s="6" t="str">
        <f>IF(A532 = "", "", COUNTIFS('Game Record'!H:H, A532, 'Game Record'!E:E, C532))</f>
        <v/>
      </c>
      <c r="F532" s="2">
        <f t="shared" si="1"/>
        <v>0</v>
      </c>
      <c r="G532" s="1" t="str">
        <f>IF(A532 = "", "", COUNTIF('Game Record'!G:G, A532))</f>
        <v/>
      </c>
      <c r="H532" s="6" t="str">
        <f>IF(A532 = "", "", COUNTIF('Game Record'!H:H, A532))</f>
        <v/>
      </c>
      <c r="I532" s="2">
        <f>IFERROR(__xludf.DUMMYFUNCTION("SUM(FILTER(TeamARecordSet, INDEX(TeamARecordSet, 0, 1) = A532)) + SUM(FILTER(TeamBRecordSet, INDEX(TeamBRecordSet, 0, 1) = A532))"),0.0)</f>
        <v>0</v>
      </c>
      <c r="J532" s="2">
        <f t="shared" si="2"/>
        <v>0</v>
      </c>
      <c r="K532" s="2" t="str">
        <f t="shared" si="3"/>
        <v/>
      </c>
    </row>
    <row r="533">
      <c r="A533" s="2"/>
      <c r="B533" s="7"/>
      <c r="D533" s="5" t="str">
        <f>IF(A533 = "", "", COUNTIFS('Game Record'!G:G, A533, 'Game Record'!E:E, C533))</f>
        <v/>
      </c>
      <c r="E533" s="6" t="str">
        <f>IF(A533 = "", "", COUNTIFS('Game Record'!H:H, A533, 'Game Record'!E:E, C533))</f>
        <v/>
      </c>
      <c r="F533" s="2">
        <f t="shared" si="1"/>
        <v>0</v>
      </c>
      <c r="G533" s="1" t="str">
        <f>IF(A533 = "", "", COUNTIF('Game Record'!G:G, A533))</f>
        <v/>
      </c>
      <c r="H533" s="6" t="str">
        <f>IF(A533 = "", "", COUNTIF('Game Record'!H:H, A533))</f>
        <v/>
      </c>
      <c r="I533" s="2">
        <f>IFERROR(__xludf.DUMMYFUNCTION("SUM(FILTER(TeamARecordSet, INDEX(TeamARecordSet, 0, 1) = A533)) + SUM(FILTER(TeamBRecordSet, INDEX(TeamBRecordSet, 0, 1) = A533))"),0.0)</f>
        <v>0</v>
      </c>
      <c r="J533" s="2">
        <f t="shared" si="2"/>
        <v>0</v>
      </c>
      <c r="K533" s="2" t="str">
        <f t="shared" si="3"/>
        <v/>
      </c>
    </row>
    <row r="534">
      <c r="A534" s="2"/>
      <c r="B534" s="7"/>
      <c r="D534" s="5" t="str">
        <f>IF(A534 = "", "", COUNTIFS('Game Record'!G:G, A534, 'Game Record'!E:E, C534))</f>
        <v/>
      </c>
      <c r="E534" s="6" t="str">
        <f>IF(A534 = "", "", COUNTIFS('Game Record'!H:H, A534, 'Game Record'!E:E, C534))</f>
        <v/>
      </c>
      <c r="F534" s="2">
        <f t="shared" si="1"/>
        <v>0</v>
      </c>
      <c r="G534" s="1" t="str">
        <f>IF(A534 = "", "", COUNTIF('Game Record'!G:G, A534))</f>
        <v/>
      </c>
      <c r="H534" s="6" t="str">
        <f>IF(A534 = "", "", COUNTIF('Game Record'!H:H, A534))</f>
        <v/>
      </c>
      <c r="I534" s="2">
        <f>IFERROR(__xludf.DUMMYFUNCTION("SUM(FILTER(TeamARecordSet, INDEX(TeamARecordSet, 0, 1) = A534)) + SUM(FILTER(TeamBRecordSet, INDEX(TeamBRecordSet, 0, 1) = A534))"),0.0)</f>
        <v>0</v>
      </c>
      <c r="J534" s="2">
        <f t="shared" si="2"/>
        <v>0</v>
      </c>
      <c r="K534" s="2" t="str">
        <f t="shared" si="3"/>
        <v/>
      </c>
    </row>
    <row r="535">
      <c r="A535" s="2"/>
      <c r="B535" s="7"/>
      <c r="D535" s="5" t="str">
        <f>IF(A535 = "", "", COUNTIFS('Game Record'!G:G, A535, 'Game Record'!E:E, C535))</f>
        <v/>
      </c>
      <c r="E535" s="6" t="str">
        <f>IF(A535 = "", "", COUNTIFS('Game Record'!H:H, A535, 'Game Record'!E:E, C535))</f>
        <v/>
      </c>
      <c r="F535" s="2">
        <f t="shared" si="1"/>
        <v>0</v>
      </c>
      <c r="G535" s="1" t="str">
        <f>IF(A535 = "", "", COUNTIF('Game Record'!G:G, A535))</f>
        <v/>
      </c>
      <c r="H535" s="6" t="str">
        <f>IF(A535 = "", "", COUNTIF('Game Record'!H:H, A535))</f>
        <v/>
      </c>
      <c r="I535" s="2">
        <f>IFERROR(__xludf.DUMMYFUNCTION("SUM(FILTER(TeamARecordSet, INDEX(TeamARecordSet, 0, 1) = A535)) + SUM(FILTER(TeamBRecordSet, INDEX(TeamBRecordSet, 0, 1) = A535))"),0.0)</f>
        <v>0</v>
      </c>
      <c r="J535" s="2">
        <f t="shared" si="2"/>
        <v>0</v>
      </c>
      <c r="K535" s="2" t="str">
        <f t="shared" si="3"/>
        <v/>
      </c>
    </row>
    <row r="536">
      <c r="A536" s="2"/>
      <c r="B536" s="7"/>
      <c r="D536" s="5" t="str">
        <f>IF(A536 = "", "", COUNTIFS('Game Record'!G:G, A536, 'Game Record'!E:E, C536))</f>
        <v/>
      </c>
      <c r="E536" s="6" t="str">
        <f>IF(A536 = "", "", COUNTIFS('Game Record'!H:H, A536, 'Game Record'!E:E, C536))</f>
        <v/>
      </c>
      <c r="F536" s="2">
        <f t="shared" si="1"/>
        <v>0</v>
      </c>
      <c r="G536" s="1" t="str">
        <f>IF(A536 = "", "", COUNTIF('Game Record'!G:G, A536))</f>
        <v/>
      </c>
      <c r="H536" s="6" t="str">
        <f>IF(A536 = "", "", COUNTIF('Game Record'!H:H, A536))</f>
        <v/>
      </c>
      <c r="I536" s="2">
        <f>IFERROR(__xludf.DUMMYFUNCTION("SUM(FILTER(TeamARecordSet, INDEX(TeamARecordSet, 0, 1) = A536)) + SUM(FILTER(TeamBRecordSet, INDEX(TeamBRecordSet, 0, 1) = A536))"),0.0)</f>
        <v>0</v>
      </c>
      <c r="J536" s="2">
        <f t="shared" si="2"/>
        <v>0</v>
      </c>
      <c r="K536" s="2" t="str">
        <f t="shared" si="3"/>
        <v/>
      </c>
    </row>
    <row r="537">
      <c r="A537" s="2"/>
      <c r="B537" s="7"/>
      <c r="D537" s="5" t="str">
        <f>IF(A537 = "", "", COUNTIFS('Game Record'!G:G, A537, 'Game Record'!E:E, C537))</f>
        <v/>
      </c>
      <c r="E537" s="6" t="str">
        <f>IF(A537 = "", "", COUNTIFS('Game Record'!H:H, A537, 'Game Record'!E:E, C537))</f>
        <v/>
      </c>
      <c r="F537" s="2">
        <f t="shared" si="1"/>
        <v>0</v>
      </c>
      <c r="G537" s="1" t="str">
        <f>IF(A537 = "", "", COUNTIF('Game Record'!G:G, A537))</f>
        <v/>
      </c>
      <c r="H537" s="6" t="str">
        <f>IF(A537 = "", "", COUNTIF('Game Record'!H:H, A537))</f>
        <v/>
      </c>
      <c r="I537" s="2">
        <f>IFERROR(__xludf.DUMMYFUNCTION("SUM(FILTER(TeamARecordSet, INDEX(TeamARecordSet, 0, 1) = A537)) + SUM(FILTER(TeamBRecordSet, INDEX(TeamBRecordSet, 0, 1) = A537))"),0.0)</f>
        <v>0</v>
      </c>
      <c r="J537" s="2">
        <f t="shared" si="2"/>
        <v>0</v>
      </c>
      <c r="K537" s="2" t="str">
        <f t="shared" si="3"/>
        <v/>
      </c>
    </row>
    <row r="538">
      <c r="A538" s="2"/>
      <c r="B538" s="7"/>
      <c r="D538" s="5" t="str">
        <f>IF(A538 = "", "", COUNTIFS('Game Record'!G:G, A538, 'Game Record'!E:E, C538))</f>
        <v/>
      </c>
      <c r="E538" s="6" t="str">
        <f>IF(A538 = "", "", COUNTIFS('Game Record'!H:H, A538, 'Game Record'!E:E, C538))</f>
        <v/>
      </c>
      <c r="F538" s="2">
        <f t="shared" si="1"/>
        <v>0</v>
      </c>
      <c r="G538" s="1" t="str">
        <f>IF(A538 = "", "", COUNTIF('Game Record'!G:G, A538))</f>
        <v/>
      </c>
      <c r="H538" s="6" t="str">
        <f>IF(A538 = "", "", COUNTIF('Game Record'!H:H, A538))</f>
        <v/>
      </c>
      <c r="I538" s="2">
        <f>IFERROR(__xludf.DUMMYFUNCTION("SUM(FILTER(TeamARecordSet, INDEX(TeamARecordSet, 0, 1) = A538)) + SUM(FILTER(TeamBRecordSet, INDEX(TeamBRecordSet, 0, 1) = A538))"),0.0)</f>
        <v>0</v>
      </c>
      <c r="J538" s="2">
        <f t="shared" si="2"/>
        <v>0</v>
      </c>
      <c r="K538" s="2" t="str">
        <f t="shared" si="3"/>
        <v/>
      </c>
    </row>
    <row r="539">
      <c r="A539" s="2"/>
      <c r="B539" s="7"/>
      <c r="D539" s="5" t="str">
        <f>IF(A539 = "", "", COUNTIFS('Game Record'!G:G, A539, 'Game Record'!E:E, C539))</f>
        <v/>
      </c>
      <c r="E539" s="6" t="str">
        <f>IF(A539 = "", "", COUNTIFS('Game Record'!H:H, A539, 'Game Record'!E:E, C539))</f>
        <v/>
      </c>
      <c r="F539" s="2">
        <f t="shared" si="1"/>
        <v>0</v>
      </c>
      <c r="G539" s="1" t="str">
        <f>IF(A539 = "", "", COUNTIF('Game Record'!G:G, A539))</f>
        <v/>
      </c>
      <c r="H539" s="6" t="str">
        <f>IF(A539 = "", "", COUNTIF('Game Record'!H:H, A539))</f>
        <v/>
      </c>
      <c r="I539" s="2">
        <f>IFERROR(__xludf.DUMMYFUNCTION("SUM(FILTER(TeamARecordSet, INDEX(TeamARecordSet, 0, 1) = A539)) + SUM(FILTER(TeamBRecordSet, INDEX(TeamBRecordSet, 0, 1) = A539))"),0.0)</f>
        <v>0</v>
      </c>
      <c r="J539" s="2">
        <f t="shared" si="2"/>
        <v>0</v>
      </c>
      <c r="K539" s="2" t="str">
        <f t="shared" si="3"/>
        <v/>
      </c>
    </row>
    <row r="540">
      <c r="A540" s="2"/>
      <c r="B540" s="7"/>
      <c r="D540" s="5" t="str">
        <f>IF(A540 = "", "", COUNTIFS('Game Record'!G:G, A540, 'Game Record'!E:E, C540))</f>
        <v/>
      </c>
      <c r="E540" s="6" t="str">
        <f>IF(A540 = "", "", COUNTIFS('Game Record'!H:H, A540, 'Game Record'!E:E, C540))</f>
        <v/>
      </c>
      <c r="F540" s="2">
        <f t="shared" si="1"/>
        <v>0</v>
      </c>
      <c r="G540" s="1" t="str">
        <f>IF(A540 = "", "", COUNTIF('Game Record'!G:G, A540))</f>
        <v/>
      </c>
      <c r="H540" s="6" t="str">
        <f>IF(A540 = "", "", COUNTIF('Game Record'!H:H, A540))</f>
        <v/>
      </c>
      <c r="I540" s="2">
        <f>IFERROR(__xludf.DUMMYFUNCTION("SUM(FILTER(TeamARecordSet, INDEX(TeamARecordSet, 0, 1) = A540)) + SUM(FILTER(TeamBRecordSet, INDEX(TeamBRecordSet, 0, 1) = A540))"),0.0)</f>
        <v>0</v>
      </c>
      <c r="J540" s="2">
        <f t="shared" si="2"/>
        <v>0</v>
      </c>
      <c r="K540" s="2" t="str">
        <f t="shared" si="3"/>
        <v/>
      </c>
    </row>
    <row r="541">
      <c r="A541" s="2"/>
      <c r="B541" s="7"/>
      <c r="D541" s="5" t="str">
        <f>IF(A541 = "", "", COUNTIFS('Game Record'!G:G, A541, 'Game Record'!E:E, C541))</f>
        <v/>
      </c>
      <c r="E541" s="6" t="str">
        <f>IF(A541 = "", "", COUNTIFS('Game Record'!H:H, A541, 'Game Record'!E:E, C541))</f>
        <v/>
      </c>
      <c r="F541" s="2">
        <f t="shared" si="1"/>
        <v>0</v>
      </c>
      <c r="G541" s="1" t="str">
        <f>IF(A541 = "", "", COUNTIF('Game Record'!G:G, A541))</f>
        <v/>
      </c>
      <c r="H541" s="6" t="str">
        <f>IF(A541 = "", "", COUNTIF('Game Record'!H:H, A541))</f>
        <v/>
      </c>
      <c r="I541" s="2">
        <f>IFERROR(__xludf.DUMMYFUNCTION("SUM(FILTER(TeamARecordSet, INDEX(TeamARecordSet, 0, 1) = A541)) + SUM(FILTER(TeamBRecordSet, INDEX(TeamBRecordSet, 0, 1) = A541))"),0.0)</f>
        <v>0</v>
      </c>
      <c r="J541" s="2">
        <f t="shared" si="2"/>
        <v>0</v>
      </c>
      <c r="K541" s="2" t="str">
        <f t="shared" si="3"/>
        <v/>
      </c>
    </row>
    <row r="542">
      <c r="A542" s="2"/>
      <c r="B542" s="7"/>
      <c r="D542" s="5" t="str">
        <f>IF(A542 = "", "", COUNTIFS('Game Record'!G:G, A542, 'Game Record'!E:E, C542))</f>
        <v/>
      </c>
      <c r="E542" s="6" t="str">
        <f>IF(A542 = "", "", COUNTIFS('Game Record'!H:H, A542, 'Game Record'!E:E, C542))</f>
        <v/>
      </c>
      <c r="F542" s="2">
        <f t="shared" si="1"/>
        <v>0</v>
      </c>
      <c r="G542" s="1" t="str">
        <f>IF(A542 = "", "", COUNTIF('Game Record'!G:G, A542))</f>
        <v/>
      </c>
      <c r="H542" s="6" t="str">
        <f>IF(A542 = "", "", COUNTIF('Game Record'!H:H, A542))</f>
        <v/>
      </c>
      <c r="I542" s="2">
        <f>IFERROR(__xludf.DUMMYFUNCTION("SUM(FILTER(TeamARecordSet, INDEX(TeamARecordSet, 0, 1) = A542)) + SUM(FILTER(TeamBRecordSet, INDEX(TeamBRecordSet, 0, 1) = A542))"),0.0)</f>
        <v>0</v>
      </c>
      <c r="J542" s="2">
        <f t="shared" si="2"/>
        <v>0</v>
      </c>
      <c r="K542" s="2" t="str">
        <f t="shared" si="3"/>
        <v/>
      </c>
    </row>
    <row r="543">
      <c r="A543" s="2"/>
      <c r="B543" s="7"/>
      <c r="D543" s="5" t="str">
        <f>IF(A543 = "", "", COUNTIFS('Game Record'!G:G, A543, 'Game Record'!E:E, C543))</f>
        <v/>
      </c>
      <c r="E543" s="6" t="str">
        <f>IF(A543 = "", "", COUNTIFS('Game Record'!H:H, A543, 'Game Record'!E:E, C543))</f>
        <v/>
      </c>
      <c r="F543" s="2">
        <f t="shared" si="1"/>
        <v>0</v>
      </c>
      <c r="G543" s="1" t="str">
        <f>IF(A543 = "", "", COUNTIF('Game Record'!G:G, A543))</f>
        <v/>
      </c>
      <c r="H543" s="6" t="str">
        <f>IF(A543 = "", "", COUNTIF('Game Record'!H:H, A543))</f>
        <v/>
      </c>
      <c r="I543" s="2">
        <f>IFERROR(__xludf.DUMMYFUNCTION("SUM(FILTER(TeamARecordSet, INDEX(TeamARecordSet, 0, 1) = A543)) + SUM(FILTER(TeamBRecordSet, INDEX(TeamBRecordSet, 0, 1) = A543))"),0.0)</f>
        <v>0</v>
      </c>
      <c r="J543" s="2">
        <f t="shared" si="2"/>
        <v>0</v>
      </c>
      <c r="K543" s="2" t="str">
        <f t="shared" si="3"/>
        <v/>
      </c>
    </row>
    <row r="544">
      <c r="A544" s="2"/>
      <c r="B544" s="7"/>
      <c r="D544" s="5" t="str">
        <f>IF(A544 = "", "", COUNTIFS('Game Record'!G:G, A544, 'Game Record'!E:E, C544))</f>
        <v/>
      </c>
      <c r="E544" s="6" t="str">
        <f>IF(A544 = "", "", COUNTIFS('Game Record'!H:H, A544, 'Game Record'!E:E, C544))</f>
        <v/>
      </c>
      <c r="F544" s="2">
        <f t="shared" si="1"/>
        <v>0</v>
      </c>
      <c r="G544" s="1" t="str">
        <f>IF(A544 = "", "", COUNTIF('Game Record'!G:G, A544))</f>
        <v/>
      </c>
      <c r="H544" s="6" t="str">
        <f>IF(A544 = "", "", COUNTIF('Game Record'!H:H, A544))</f>
        <v/>
      </c>
      <c r="I544" s="2">
        <f>IFERROR(__xludf.DUMMYFUNCTION("SUM(FILTER(TeamARecordSet, INDEX(TeamARecordSet, 0, 1) = A544)) + SUM(FILTER(TeamBRecordSet, INDEX(TeamBRecordSet, 0, 1) = A544))"),0.0)</f>
        <v>0</v>
      </c>
      <c r="J544" s="2">
        <f t="shared" si="2"/>
        <v>0</v>
      </c>
      <c r="K544" s="2" t="str">
        <f t="shared" si="3"/>
        <v/>
      </c>
    </row>
    <row r="545">
      <c r="A545" s="2"/>
      <c r="B545" s="7"/>
      <c r="D545" s="5" t="str">
        <f>IF(A545 = "", "", COUNTIFS('Game Record'!G:G, A545, 'Game Record'!E:E, C545))</f>
        <v/>
      </c>
      <c r="E545" s="6" t="str">
        <f>IF(A545 = "", "", COUNTIFS('Game Record'!H:H, A545, 'Game Record'!E:E, C545))</f>
        <v/>
      </c>
      <c r="F545" s="2">
        <f t="shared" si="1"/>
        <v>0</v>
      </c>
      <c r="G545" s="1" t="str">
        <f>IF(A545 = "", "", COUNTIF('Game Record'!G:G, A545))</f>
        <v/>
      </c>
      <c r="H545" s="6" t="str">
        <f>IF(A545 = "", "", COUNTIF('Game Record'!H:H, A545))</f>
        <v/>
      </c>
      <c r="I545" s="2">
        <f>IFERROR(__xludf.DUMMYFUNCTION("SUM(FILTER(TeamARecordSet, INDEX(TeamARecordSet, 0, 1) = A545)) + SUM(FILTER(TeamBRecordSet, INDEX(TeamBRecordSet, 0, 1) = A545))"),0.0)</f>
        <v>0</v>
      </c>
      <c r="J545" s="2">
        <f t="shared" si="2"/>
        <v>0</v>
      </c>
      <c r="K545" s="2" t="str">
        <f t="shared" si="3"/>
        <v/>
      </c>
    </row>
    <row r="546">
      <c r="A546" s="2"/>
      <c r="B546" s="7"/>
      <c r="D546" s="5" t="str">
        <f>IF(A546 = "", "", COUNTIFS('Game Record'!G:G, A546, 'Game Record'!E:E, C546))</f>
        <v/>
      </c>
      <c r="E546" s="6" t="str">
        <f>IF(A546 = "", "", COUNTIFS('Game Record'!H:H, A546, 'Game Record'!E:E, C546))</f>
        <v/>
      </c>
      <c r="F546" s="2">
        <f t="shared" si="1"/>
        <v>0</v>
      </c>
      <c r="G546" s="1" t="str">
        <f>IF(A546 = "", "", COUNTIF('Game Record'!G:G, A546))</f>
        <v/>
      </c>
      <c r="H546" s="6" t="str">
        <f>IF(A546 = "", "", COUNTIF('Game Record'!H:H, A546))</f>
        <v/>
      </c>
      <c r="I546" s="2">
        <f>IFERROR(__xludf.DUMMYFUNCTION("SUM(FILTER(TeamARecordSet, INDEX(TeamARecordSet, 0, 1) = A546)) + SUM(FILTER(TeamBRecordSet, INDEX(TeamBRecordSet, 0, 1) = A546))"),0.0)</f>
        <v>0</v>
      </c>
      <c r="J546" s="2">
        <f t="shared" si="2"/>
        <v>0</v>
      </c>
      <c r="K546" s="2" t="str">
        <f t="shared" si="3"/>
        <v/>
      </c>
    </row>
    <row r="547">
      <c r="A547" s="2"/>
      <c r="B547" s="7"/>
      <c r="D547" s="5" t="str">
        <f>IF(A547 = "", "", COUNTIFS('Game Record'!G:G, A547, 'Game Record'!E:E, C547))</f>
        <v/>
      </c>
      <c r="E547" s="6" t="str">
        <f>IF(A547 = "", "", COUNTIFS('Game Record'!H:H, A547, 'Game Record'!E:E, C547))</f>
        <v/>
      </c>
      <c r="F547" s="2">
        <f t="shared" si="1"/>
        <v>0</v>
      </c>
      <c r="G547" s="1" t="str">
        <f>IF(A547 = "", "", COUNTIF('Game Record'!G:G, A547))</f>
        <v/>
      </c>
      <c r="H547" s="6" t="str">
        <f>IF(A547 = "", "", COUNTIF('Game Record'!H:H, A547))</f>
        <v/>
      </c>
      <c r="I547" s="2">
        <f>IFERROR(__xludf.DUMMYFUNCTION("SUM(FILTER(TeamARecordSet, INDEX(TeamARecordSet, 0, 1) = A547)) + SUM(FILTER(TeamBRecordSet, INDEX(TeamBRecordSet, 0, 1) = A547))"),0.0)</f>
        <v>0</v>
      </c>
      <c r="J547" s="2">
        <f t="shared" si="2"/>
        <v>0</v>
      </c>
      <c r="K547" s="2" t="str">
        <f t="shared" si="3"/>
        <v/>
      </c>
    </row>
    <row r="548">
      <c r="A548" s="2"/>
      <c r="B548" s="7"/>
      <c r="D548" s="5" t="str">
        <f>IF(A548 = "", "", COUNTIFS('Game Record'!G:G, A548, 'Game Record'!E:E, C548))</f>
        <v/>
      </c>
      <c r="E548" s="6" t="str">
        <f>IF(A548 = "", "", COUNTIFS('Game Record'!H:H, A548, 'Game Record'!E:E, C548))</f>
        <v/>
      </c>
      <c r="F548" s="2">
        <f t="shared" si="1"/>
        <v>0</v>
      </c>
      <c r="G548" s="1" t="str">
        <f>IF(A548 = "", "", COUNTIF('Game Record'!G:G, A548))</f>
        <v/>
      </c>
      <c r="H548" s="6" t="str">
        <f>IF(A548 = "", "", COUNTIF('Game Record'!H:H, A548))</f>
        <v/>
      </c>
      <c r="I548" s="2">
        <f>IFERROR(__xludf.DUMMYFUNCTION("SUM(FILTER(TeamARecordSet, INDEX(TeamARecordSet, 0, 1) = A548)) + SUM(FILTER(TeamBRecordSet, INDEX(TeamBRecordSet, 0, 1) = A548))"),0.0)</f>
        <v>0</v>
      </c>
      <c r="J548" s="2">
        <f t="shared" si="2"/>
        <v>0</v>
      </c>
      <c r="K548" s="2" t="str">
        <f t="shared" si="3"/>
        <v/>
      </c>
    </row>
    <row r="549">
      <c r="A549" s="2"/>
      <c r="B549" s="7"/>
      <c r="D549" s="5" t="str">
        <f>IF(A549 = "", "", COUNTIFS('Game Record'!G:G, A549, 'Game Record'!E:E, C549))</f>
        <v/>
      </c>
      <c r="E549" s="6" t="str">
        <f>IF(A549 = "", "", COUNTIFS('Game Record'!H:H, A549, 'Game Record'!E:E, C549))</f>
        <v/>
      </c>
      <c r="F549" s="2">
        <f t="shared" si="1"/>
        <v>0</v>
      </c>
      <c r="G549" s="1" t="str">
        <f>IF(A549 = "", "", COUNTIF('Game Record'!G:G, A549))</f>
        <v/>
      </c>
      <c r="H549" s="6" t="str">
        <f>IF(A549 = "", "", COUNTIF('Game Record'!H:H, A549))</f>
        <v/>
      </c>
      <c r="I549" s="2">
        <f>IFERROR(__xludf.DUMMYFUNCTION("SUM(FILTER(TeamARecordSet, INDEX(TeamARecordSet, 0, 1) = A549)) + SUM(FILTER(TeamBRecordSet, INDEX(TeamBRecordSet, 0, 1) = A549))"),0.0)</f>
        <v>0</v>
      </c>
      <c r="J549" s="2">
        <f t="shared" si="2"/>
        <v>0</v>
      </c>
      <c r="K549" s="2" t="str">
        <f t="shared" si="3"/>
        <v/>
      </c>
    </row>
    <row r="550">
      <c r="A550" s="2"/>
      <c r="B550" s="7"/>
      <c r="D550" s="5" t="str">
        <f>IF(A550 = "", "", COUNTIFS('Game Record'!G:G, A550, 'Game Record'!E:E, C550))</f>
        <v/>
      </c>
      <c r="E550" s="6" t="str">
        <f>IF(A550 = "", "", COUNTIFS('Game Record'!H:H, A550, 'Game Record'!E:E, C550))</f>
        <v/>
      </c>
      <c r="F550" s="2">
        <f t="shared" si="1"/>
        <v>0</v>
      </c>
      <c r="G550" s="1" t="str">
        <f>IF(A550 = "", "", COUNTIF('Game Record'!G:G, A550))</f>
        <v/>
      </c>
      <c r="H550" s="6" t="str">
        <f>IF(A550 = "", "", COUNTIF('Game Record'!H:H, A550))</f>
        <v/>
      </c>
      <c r="I550" s="2">
        <f>IFERROR(__xludf.DUMMYFUNCTION("SUM(FILTER(TeamARecordSet, INDEX(TeamARecordSet, 0, 1) = A550)) + SUM(FILTER(TeamBRecordSet, INDEX(TeamBRecordSet, 0, 1) = A550))"),0.0)</f>
        <v>0</v>
      </c>
      <c r="J550" s="2">
        <f t="shared" si="2"/>
        <v>0</v>
      </c>
      <c r="K550" s="2" t="str">
        <f t="shared" si="3"/>
        <v/>
      </c>
    </row>
    <row r="551">
      <c r="A551" s="2"/>
      <c r="B551" s="7"/>
      <c r="D551" s="5" t="str">
        <f>IF(A551 = "", "", COUNTIFS('Game Record'!G:G, A551, 'Game Record'!E:E, C551))</f>
        <v/>
      </c>
      <c r="E551" s="6" t="str">
        <f>IF(A551 = "", "", COUNTIFS('Game Record'!H:H, A551, 'Game Record'!E:E, C551))</f>
        <v/>
      </c>
      <c r="F551" s="2">
        <f t="shared" si="1"/>
        <v>0</v>
      </c>
      <c r="G551" s="1" t="str">
        <f>IF(A551 = "", "", COUNTIF('Game Record'!G:G, A551))</f>
        <v/>
      </c>
      <c r="H551" s="6" t="str">
        <f>IF(A551 = "", "", COUNTIF('Game Record'!H:H, A551))</f>
        <v/>
      </c>
      <c r="I551" s="2">
        <f>IFERROR(__xludf.DUMMYFUNCTION("SUM(FILTER(TeamARecordSet, INDEX(TeamARecordSet, 0, 1) = A551)) + SUM(FILTER(TeamBRecordSet, INDEX(TeamBRecordSet, 0, 1) = A551))"),0.0)</f>
        <v>0</v>
      </c>
      <c r="J551" s="2">
        <f t="shared" si="2"/>
        <v>0</v>
      </c>
      <c r="K551" s="2" t="str">
        <f t="shared" si="3"/>
        <v/>
      </c>
    </row>
    <row r="552">
      <c r="A552" s="2"/>
      <c r="B552" s="7"/>
      <c r="D552" s="5" t="str">
        <f>IF(A552 = "", "", COUNTIFS('Game Record'!G:G, A552, 'Game Record'!E:E, C552))</f>
        <v/>
      </c>
      <c r="E552" s="6" t="str">
        <f>IF(A552 = "", "", COUNTIFS('Game Record'!H:H, A552, 'Game Record'!E:E, C552))</f>
        <v/>
      </c>
      <c r="F552" s="2">
        <f t="shared" si="1"/>
        <v>0</v>
      </c>
      <c r="G552" s="1" t="str">
        <f>IF(A552 = "", "", COUNTIF('Game Record'!G:G, A552))</f>
        <v/>
      </c>
      <c r="H552" s="6" t="str">
        <f>IF(A552 = "", "", COUNTIF('Game Record'!H:H, A552))</f>
        <v/>
      </c>
      <c r="I552" s="2">
        <f>IFERROR(__xludf.DUMMYFUNCTION("SUM(FILTER(TeamARecordSet, INDEX(TeamARecordSet, 0, 1) = A552)) + SUM(FILTER(TeamBRecordSet, INDEX(TeamBRecordSet, 0, 1) = A552))"),0.0)</f>
        <v>0</v>
      </c>
      <c r="J552" s="2">
        <f t="shared" si="2"/>
        <v>0</v>
      </c>
      <c r="K552" s="2" t="str">
        <f t="shared" si="3"/>
        <v/>
      </c>
    </row>
    <row r="553">
      <c r="A553" s="2"/>
      <c r="B553" s="7"/>
      <c r="D553" s="5" t="str">
        <f>IF(A553 = "", "", COUNTIFS('Game Record'!G:G, A553, 'Game Record'!E:E, C553))</f>
        <v/>
      </c>
      <c r="E553" s="6" t="str">
        <f>IF(A553 = "", "", COUNTIFS('Game Record'!H:H, A553, 'Game Record'!E:E, C553))</f>
        <v/>
      </c>
      <c r="F553" s="2">
        <f t="shared" si="1"/>
        <v>0</v>
      </c>
      <c r="G553" s="1" t="str">
        <f>IF(A553 = "", "", COUNTIF('Game Record'!G:G, A553))</f>
        <v/>
      </c>
      <c r="H553" s="6" t="str">
        <f>IF(A553 = "", "", COUNTIF('Game Record'!H:H, A553))</f>
        <v/>
      </c>
      <c r="I553" s="2">
        <f>IFERROR(__xludf.DUMMYFUNCTION("SUM(FILTER(TeamARecordSet, INDEX(TeamARecordSet, 0, 1) = A553)) + SUM(FILTER(TeamBRecordSet, INDEX(TeamBRecordSet, 0, 1) = A553))"),0.0)</f>
        <v>0</v>
      </c>
      <c r="J553" s="2">
        <f t="shared" si="2"/>
        <v>0</v>
      </c>
      <c r="K553" s="2" t="str">
        <f t="shared" si="3"/>
        <v/>
      </c>
    </row>
    <row r="554">
      <c r="A554" s="2"/>
      <c r="B554" s="7"/>
      <c r="D554" s="5" t="str">
        <f>IF(A554 = "", "", COUNTIFS('Game Record'!G:G, A554, 'Game Record'!E:E, C554))</f>
        <v/>
      </c>
      <c r="E554" s="6" t="str">
        <f>IF(A554 = "", "", COUNTIFS('Game Record'!H:H, A554, 'Game Record'!E:E, C554))</f>
        <v/>
      </c>
      <c r="F554" s="2">
        <f t="shared" si="1"/>
        <v>0</v>
      </c>
      <c r="G554" s="1" t="str">
        <f>IF(A554 = "", "", COUNTIF('Game Record'!G:G, A554))</f>
        <v/>
      </c>
      <c r="H554" s="6" t="str">
        <f>IF(A554 = "", "", COUNTIF('Game Record'!H:H, A554))</f>
        <v/>
      </c>
      <c r="I554" s="2">
        <f>IFERROR(__xludf.DUMMYFUNCTION("SUM(FILTER(TeamARecordSet, INDEX(TeamARecordSet, 0, 1) = A554)) + SUM(FILTER(TeamBRecordSet, INDEX(TeamBRecordSet, 0, 1) = A554))"),0.0)</f>
        <v>0</v>
      </c>
      <c r="J554" s="2">
        <f t="shared" si="2"/>
        <v>0</v>
      </c>
      <c r="K554" s="2" t="str">
        <f t="shared" si="3"/>
        <v/>
      </c>
    </row>
    <row r="555">
      <c r="A555" s="2"/>
      <c r="B555" s="7"/>
      <c r="D555" s="5" t="str">
        <f>IF(A555 = "", "", COUNTIFS('Game Record'!G:G, A555, 'Game Record'!E:E, C555))</f>
        <v/>
      </c>
      <c r="E555" s="6" t="str">
        <f>IF(A555 = "", "", COUNTIFS('Game Record'!H:H, A555, 'Game Record'!E:E, C555))</f>
        <v/>
      </c>
      <c r="F555" s="2">
        <f t="shared" si="1"/>
        <v>0</v>
      </c>
      <c r="G555" s="1" t="str">
        <f>IF(A555 = "", "", COUNTIF('Game Record'!G:G, A555))</f>
        <v/>
      </c>
      <c r="H555" s="6" t="str">
        <f>IF(A555 = "", "", COUNTIF('Game Record'!H:H, A555))</f>
        <v/>
      </c>
      <c r="I555" s="2">
        <f>IFERROR(__xludf.DUMMYFUNCTION("SUM(FILTER(TeamARecordSet, INDEX(TeamARecordSet, 0, 1) = A555)) + SUM(FILTER(TeamBRecordSet, INDEX(TeamBRecordSet, 0, 1) = A555))"),0.0)</f>
        <v>0</v>
      </c>
      <c r="J555" s="2">
        <f t="shared" si="2"/>
        <v>0</v>
      </c>
      <c r="K555" s="2" t="str">
        <f t="shared" si="3"/>
        <v/>
      </c>
    </row>
    <row r="556">
      <c r="A556" s="2"/>
      <c r="B556" s="7"/>
      <c r="D556" s="5" t="str">
        <f>IF(A556 = "", "", COUNTIFS('Game Record'!G:G, A556, 'Game Record'!E:E, C556))</f>
        <v/>
      </c>
      <c r="E556" s="6" t="str">
        <f>IF(A556 = "", "", COUNTIFS('Game Record'!H:H, A556, 'Game Record'!E:E, C556))</f>
        <v/>
      </c>
      <c r="F556" s="2">
        <f t="shared" si="1"/>
        <v>0</v>
      </c>
      <c r="G556" s="1" t="str">
        <f>IF(A556 = "", "", COUNTIF('Game Record'!G:G, A556))</f>
        <v/>
      </c>
      <c r="H556" s="6" t="str">
        <f>IF(A556 = "", "", COUNTIF('Game Record'!H:H, A556))</f>
        <v/>
      </c>
      <c r="I556" s="2">
        <f>IFERROR(__xludf.DUMMYFUNCTION("SUM(FILTER(TeamARecordSet, INDEX(TeamARecordSet, 0, 1) = A556)) + SUM(FILTER(TeamBRecordSet, INDEX(TeamBRecordSet, 0, 1) = A556))"),0.0)</f>
        <v>0</v>
      </c>
      <c r="J556" s="2">
        <f t="shared" si="2"/>
        <v>0</v>
      </c>
      <c r="K556" s="2" t="str">
        <f t="shared" si="3"/>
        <v/>
      </c>
    </row>
    <row r="557">
      <c r="A557" s="2"/>
      <c r="B557" s="7"/>
      <c r="D557" s="5" t="str">
        <f>IF(A557 = "", "", COUNTIFS('Game Record'!G:G, A557, 'Game Record'!E:E, C557))</f>
        <v/>
      </c>
      <c r="E557" s="6" t="str">
        <f>IF(A557 = "", "", COUNTIFS('Game Record'!H:H, A557, 'Game Record'!E:E, C557))</f>
        <v/>
      </c>
      <c r="F557" s="2">
        <f t="shared" si="1"/>
        <v>0</v>
      </c>
      <c r="G557" s="1" t="str">
        <f>IF(A557 = "", "", COUNTIF('Game Record'!G:G, A557))</f>
        <v/>
      </c>
      <c r="H557" s="6" t="str">
        <f>IF(A557 = "", "", COUNTIF('Game Record'!H:H, A557))</f>
        <v/>
      </c>
      <c r="I557" s="2">
        <f>IFERROR(__xludf.DUMMYFUNCTION("SUM(FILTER(TeamARecordSet, INDEX(TeamARecordSet, 0, 1) = A557)) + SUM(FILTER(TeamBRecordSet, INDEX(TeamBRecordSet, 0, 1) = A557))"),0.0)</f>
        <v>0</v>
      </c>
      <c r="J557" s="2">
        <f t="shared" si="2"/>
        <v>0</v>
      </c>
      <c r="K557" s="2" t="str">
        <f t="shared" si="3"/>
        <v/>
      </c>
    </row>
    <row r="558">
      <c r="A558" s="2"/>
      <c r="B558" s="7"/>
      <c r="D558" s="5" t="str">
        <f>IF(A558 = "", "", COUNTIFS('Game Record'!G:G, A558, 'Game Record'!E:E, C558))</f>
        <v/>
      </c>
      <c r="E558" s="6" t="str">
        <f>IF(A558 = "", "", COUNTIFS('Game Record'!H:H, A558, 'Game Record'!E:E, C558))</f>
        <v/>
      </c>
      <c r="F558" s="2">
        <f t="shared" si="1"/>
        <v>0</v>
      </c>
      <c r="G558" s="1" t="str">
        <f>IF(A558 = "", "", COUNTIF('Game Record'!G:G, A558))</f>
        <v/>
      </c>
      <c r="H558" s="6" t="str">
        <f>IF(A558 = "", "", COUNTIF('Game Record'!H:H, A558))</f>
        <v/>
      </c>
      <c r="I558" s="2">
        <f>IFERROR(__xludf.DUMMYFUNCTION("SUM(FILTER(TeamARecordSet, INDEX(TeamARecordSet, 0, 1) = A558)) + SUM(FILTER(TeamBRecordSet, INDEX(TeamBRecordSet, 0, 1) = A558))"),0.0)</f>
        <v>0</v>
      </c>
      <c r="J558" s="2">
        <f t="shared" si="2"/>
        <v>0</v>
      </c>
      <c r="K558" s="2" t="str">
        <f t="shared" si="3"/>
        <v/>
      </c>
    </row>
    <row r="559">
      <c r="A559" s="2"/>
      <c r="B559" s="7"/>
      <c r="D559" s="5" t="str">
        <f>IF(A559 = "", "", COUNTIFS('Game Record'!G:G, A559, 'Game Record'!E:E, C559))</f>
        <v/>
      </c>
      <c r="E559" s="6" t="str">
        <f>IF(A559 = "", "", COUNTIFS('Game Record'!H:H, A559, 'Game Record'!E:E, C559))</f>
        <v/>
      </c>
      <c r="F559" s="2">
        <f t="shared" si="1"/>
        <v>0</v>
      </c>
      <c r="G559" s="1" t="str">
        <f>IF(A559 = "", "", COUNTIF('Game Record'!G:G, A559))</f>
        <v/>
      </c>
      <c r="H559" s="6" t="str">
        <f>IF(A559 = "", "", COUNTIF('Game Record'!H:H, A559))</f>
        <v/>
      </c>
      <c r="I559" s="2">
        <f>IFERROR(__xludf.DUMMYFUNCTION("SUM(FILTER(TeamARecordSet, INDEX(TeamARecordSet, 0, 1) = A559)) + SUM(FILTER(TeamBRecordSet, INDEX(TeamBRecordSet, 0, 1) = A559))"),0.0)</f>
        <v>0</v>
      </c>
      <c r="J559" s="2">
        <f t="shared" si="2"/>
        <v>0</v>
      </c>
      <c r="K559" s="2" t="str">
        <f t="shared" si="3"/>
        <v/>
      </c>
    </row>
    <row r="560">
      <c r="A560" s="2"/>
      <c r="B560" s="7"/>
      <c r="D560" s="5" t="str">
        <f>IF(A560 = "", "", COUNTIFS('Game Record'!G:G, A560, 'Game Record'!E:E, C560))</f>
        <v/>
      </c>
      <c r="E560" s="6" t="str">
        <f>IF(A560 = "", "", COUNTIFS('Game Record'!H:H, A560, 'Game Record'!E:E, C560))</f>
        <v/>
      </c>
      <c r="F560" s="2">
        <f t="shared" si="1"/>
        <v>0</v>
      </c>
      <c r="G560" s="1" t="str">
        <f>IF(A560 = "", "", COUNTIF('Game Record'!G:G, A560))</f>
        <v/>
      </c>
      <c r="H560" s="6" t="str">
        <f>IF(A560 = "", "", COUNTIF('Game Record'!H:H, A560))</f>
        <v/>
      </c>
      <c r="I560" s="2">
        <f>IFERROR(__xludf.DUMMYFUNCTION("SUM(FILTER(TeamARecordSet, INDEX(TeamARecordSet, 0, 1) = A560)) + SUM(FILTER(TeamBRecordSet, INDEX(TeamBRecordSet, 0, 1) = A560))"),0.0)</f>
        <v>0</v>
      </c>
      <c r="J560" s="2">
        <f t="shared" si="2"/>
        <v>0</v>
      </c>
      <c r="K560" s="2" t="str">
        <f t="shared" si="3"/>
        <v/>
      </c>
    </row>
    <row r="561">
      <c r="A561" s="2"/>
      <c r="B561" s="7"/>
      <c r="D561" s="5" t="str">
        <f>IF(A561 = "", "", COUNTIFS('Game Record'!G:G, A561, 'Game Record'!E:E, C561))</f>
        <v/>
      </c>
      <c r="E561" s="6" t="str">
        <f>IF(A561 = "", "", COUNTIFS('Game Record'!H:H, A561, 'Game Record'!E:E, C561))</f>
        <v/>
      </c>
      <c r="F561" s="2">
        <f t="shared" si="1"/>
        <v>0</v>
      </c>
      <c r="G561" s="1" t="str">
        <f>IF(A561 = "", "", COUNTIF('Game Record'!G:G, A561))</f>
        <v/>
      </c>
      <c r="H561" s="6" t="str">
        <f>IF(A561 = "", "", COUNTIF('Game Record'!H:H, A561))</f>
        <v/>
      </c>
      <c r="I561" s="2">
        <f>IFERROR(__xludf.DUMMYFUNCTION("SUM(FILTER(TeamARecordSet, INDEX(TeamARecordSet, 0, 1) = A561)) + SUM(FILTER(TeamBRecordSet, INDEX(TeamBRecordSet, 0, 1) = A561))"),0.0)</f>
        <v>0</v>
      </c>
      <c r="J561" s="2">
        <f t="shared" si="2"/>
        <v>0</v>
      </c>
      <c r="K561" s="2" t="str">
        <f t="shared" si="3"/>
        <v/>
      </c>
    </row>
    <row r="562">
      <c r="A562" s="2"/>
      <c r="B562" s="7"/>
      <c r="D562" s="5" t="str">
        <f>IF(A562 = "", "", COUNTIFS('Game Record'!G:G, A562, 'Game Record'!E:E, C562))</f>
        <v/>
      </c>
      <c r="E562" s="6" t="str">
        <f>IF(A562 = "", "", COUNTIFS('Game Record'!H:H, A562, 'Game Record'!E:E, C562))</f>
        <v/>
      </c>
      <c r="F562" s="2">
        <f t="shared" si="1"/>
        <v>0</v>
      </c>
      <c r="G562" s="1" t="str">
        <f>IF(A562 = "", "", COUNTIF('Game Record'!G:G, A562))</f>
        <v/>
      </c>
      <c r="H562" s="6" t="str">
        <f>IF(A562 = "", "", COUNTIF('Game Record'!H:H, A562))</f>
        <v/>
      </c>
      <c r="I562" s="2">
        <f>IFERROR(__xludf.DUMMYFUNCTION("SUM(FILTER(TeamARecordSet, INDEX(TeamARecordSet, 0, 1) = A562)) + SUM(FILTER(TeamBRecordSet, INDEX(TeamBRecordSet, 0, 1) = A562))"),0.0)</f>
        <v>0</v>
      </c>
      <c r="J562" s="2">
        <f t="shared" si="2"/>
        <v>0</v>
      </c>
      <c r="K562" s="2" t="str">
        <f t="shared" si="3"/>
        <v/>
      </c>
    </row>
    <row r="563">
      <c r="A563" s="2"/>
      <c r="B563" s="7"/>
      <c r="D563" s="5" t="str">
        <f>IF(A563 = "", "", COUNTIFS('Game Record'!G:G, A563, 'Game Record'!E:E, C563))</f>
        <v/>
      </c>
      <c r="E563" s="6" t="str">
        <f>IF(A563 = "", "", COUNTIFS('Game Record'!H:H, A563, 'Game Record'!E:E, C563))</f>
        <v/>
      </c>
      <c r="F563" s="2">
        <f t="shared" si="1"/>
        <v>0</v>
      </c>
      <c r="G563" s="1" t="str">
        <f>IF(A563 = "", "", COUNTIF('Game Record'!G:G, A563))</f>
        <v/>
      </c>
      <c r="H563" s="6" t="str">
        <f>IF(A563 = "", "", COUNTIF('Game Record'!H:H, A563))</f>
        <v/>
      </c>
      <c r="I563" s="2">
        <f>IFERROR(__xludf.DUMMYFUNCTION("SUM(FILTER(TeamARecordSet, INDEX(TeamARecordSet, 0, 1) = A563)) + SUM(FILTER(TeamBRecordSet, INDEX(TeamBRecordSet, 0, 1) = A563))"),0.0)</f>
        <v>0</v>
      </c>
      <c r="J563" s="2">
        <f t="shared" si="2"/>
        <v>0</v>
      </c>
      <c r="K563" s="2" t="str">
        <f t="shared" si="3"/>
        <v/>
      </c>
    </row>
    <row r="564">
      <c r="A564" s="2"/>
      <c r="B564" s="7"/>
      <c r="D564" s="5" t="str">
        <f>IF(A564 = "", "", COUNTIFS('Game Record'!G:G, A564, 'Game Record'!E:E, C564))</f>
        <v/>
      </c>
      <c r="E564" s="6" t="str">
        <f>IF(A564 = "", "", COUNTIFS('Game Record'!H:H, A564, 'Game Record'!E:E, C564))</f>
        <v/>
      </c>
      <c r="F564" s="2">
        <f t="shared" si="1"/>
        <v>0</v>
      </c>
      <c r="G564" s="1" t="str">
        <f>IF(A564 = "", "", COUNTIF('Game Record'!G:G, A564))</f>
        <v/>
      </c>
      <c r="H564" s="6" t="str">
        <f>IF(A564 = "", "", COUNTIF('Game Record'!H:H, A564))</f>
        <v/>
      </c>
      <c r="I564" s="2">
        <f>IFERROR(__xludf.DUMMYFUNCTION("SUM(FILTER(TeamARecordSet, INDEX(TeamARecordSet, 0, 1) = A564)) + SUM(FILTER(TeamBRecordSet, INDEX(TeamBRecordSet, 0, 1) = A564))"),0.0)</f>
        <v>0</v>
      </c>
      <c r="J564" s="2">
        <f t="shared" si="2"/>
        <v>0</v>
      </c>
      <c r="K564" s="2" t="str">
        <f t="shared" si="3"/>
        <v/>
      </c>
    </row>
    <row r="565">
      <c r="A565" s="2"/>
      <c r="B565" s="7"/>
      <c r="D565" s="5" t="str">
        <f>IF(A565 = "", "", COUNTIFS('Game Record'!G:G, A565, 'Game Record'!E:E, C565))</f>
        <v/>
      </c>
      <c r="E565" s="6" t="str">
        <f>IF(A565 = "", "", COUNTIFS('Game Record'!H:H, A565, 'Game Record'!E:E, C565))</f>
        <v/>
      </c>
      <c r="F565" s="2">
        <f t="shared" si="1"/>
        <v>0</v>
      </c>
      <c r="G565" s="1" t="str">
        <f>IF(A565 = "", "", COUNTIF('Game Record'!G:G, A565))</f>
        <v/>
      </c>
      <c r="H565" s="6" t="str">
        <f>IF(A565 = "", "", COUNTIF('Game Record'!H:H, A565))</f>
        <v/>
      </c>
      <c r="I565" s="2">
        <f>IFERROR(__xludf.DUMMYFUNCTION("SUM(FILTER(TeamARecordSet, INDEX(TeamARecordSet, 0, 1) = A565)) + SUM(FILTER(TeamBRecordSet, INDEX(TeamBRecordSet, 0, 1) = A565))"),0.0)</f>
        <v>0</v>
      </c>
      <c r="J565" s="2">
        <f t="shared" si="2"/>
        <v>0</v>
      </c>
      <c r="K565" s="2" t="str">
        <f t="shared" si="3"/>
        <v/>
      </c>
    </row>
    <row r="566">
      <c r="A566" s="2"/>
      <c r="B566" s="7"/>
      <c r="D566" s="5" t="str">
        <f>IF(A566 = "", "", COUNTIFS('Game Record'!G:G, A566, 'Game Record'!E:E, C566))</f>
        <v/>
      </c>
      <c r="E566" s="6" t="str">
        <f>IF(A566 = "", "", COUNTIFS('Game Record'!H:H, A566, 'Game Record'!E:E, C566))</f>
        <v/>
      </c>
      <c r="F566" s="2">
        <f t="shared" si="1"/>
        <v>0</v>
      </c>
      <c r="G566" s="1" t="str">
        <f>IF(A566 = "", "", COUNTIF('Game Record'!G:G, A566))</f>
        <v/>
      </c>
      <c r="H566" s="6" t="str">
        <f>IF(A566 = "", "", COUNTIF('Game Record'!H:H, A566))</f>
        <v/>
      </c>
      <c r="I566" s="2">
        <f>IFERROR(__xludf.DUMMYFUNCTION("SUM(FILTER(TeamARecordSet, INDEX(TeamARecordSet, 0, 1) = A566)) + SUM(FILTER(TeamBRecordSet, INDEX(TeamBRecordSet, 0, 1) = A566))"),0.0)</f>
        <v>0</v>
      </c>
      <c r="J566" s="2">
        <f t="shared" si="2"/>
        <v>0</v>
      </c>
      <c r="K566" s="2" t="str">
        <f t="shared" si="3"/>
        <v/>
      </c>
    </row>
    <row r="567">
      <c r="A567" s="2"/>
      <c r="B567" s="7"/>
      <c r="D567" s="5" t="str">
        <f>IF(A567 = "", "", COUNTIFS('Game Record'!G:G, A567, 'Game Record'!E:E, C567))</f>
        <v/>
      </c>
      <c r="E567" s="6" t="str">
        <f>IF(A567 = "", "", COUNTIFS('Game Record'!H:H, A567, 'Game Record'!E:E, C567))</f>
        <v/>
      </c>
      <c r="F567" s="2">
        <f t="shared" si="1"/>
        <v>0</v>
      </c>
      <c r="G567" s="1" t="str">
        <f>IF(A567 = "", "", COUNTIF('Game Record'!G:G, A567))</f>
        <v/>
      </c>
      <c r="H567" s="6" t="str">
        <f>IF(A567 = "", "", COUNTIF('Game Record'!H:H, A567))</f>
        <v/>
      </c>
      <c r="I567" s="2">
        <f>IFERROR(__xludf.DUMMYFUNCTION("SUM(FILTER(TeamARecordSet, INDEX(TeamARecordSet, 0, 1) = A567)) + SUM(FILTER(TeamBRecordSet, INDEX(TeamBRecordSet, 0, 1) = A567))"),0.0)</f>
        <v>0</v>
      </c>
      <c r="J567" s="2">
        <f t="shared" si="2"/>
        <v>0</v>
      </c>
      <c r="K567" s="2" t="str">
        <f t="shared" si="3"/>
        <v/>
      </c>
    </row>
    <row r="568">
      <c r="A568" s="2"/>
      <c r="B568" s="7"/>
      <c r="D568" s="5" t="str">
        <f>IF(A568 = "", "", COUNTIFS('Game Record'!G:G, A568, 'Game Record'!E:E, C568))</f>
        <v/>
      </c>
      <c r="E568" s="6" t="str">
        <f>IF(A568 = "", "", COUNTIFS('Game Record'!H:H, A568, 'Game Record'!E:E, C568))</f>
        <v/>
      </c>
      <c r="F568" s="2">
        <f t="shared" si="1"/>
        <v>0</v>
      </c>
      <c r="G568" s="1" t="str">
        <f>IF(A568 = "", "", COUNTIF('Game Record'!G:G, A568))</f>
        <v/>
      </c>
      <c r="H568" s="6" t="str">
        <f>IF(A568 = "", "", COUNTIF('Game Record'!H:H, A568))</f>
        <v/>
      </c>
      <c r="I568" s="2">
        <f>IFERROR(__xludf.DUMMYFUNCTION("SUM(FILTER(TeamARecordSet, INDEX(TeamARecordSet, 0, 1) = A568)) + SUM(FILTER(TeamBRecordSet, INDEX(TeamBRecordSet, 0, 1) = A568))"),0.0)</f>
        <v>0</v>
      </c>
      <c r="J568" s="2">
        <f t="shared" si="2"/>
        <v>0</v>
      </c>
      <c r="K568" s="2" t="str">
        <f t="shared" si="3"/>
        <v/>
      </c>
    </row>
    <row r="569">
      <c r="A569" s="2"/>
      <c r="B569" s="7"/>
      <c r="D569" s="5" t="str">
        <f>IF(A569 = "", "", COUNTIFS('Game Record'!G:G, A569, 'Game Record'!E:E, C569))</f>
        <v/>
      </c>
      <c r="E569" s="6" t="str">
        <f>IF(A569 = "", "", COUNTIFS('Game Record'!H:H, A569, 'Game Record'!E:E, C569))</f>
        <v/>
      </c>
      <c r="F569" s="2">
        <f t="shared" si="1"/>
        <v>0</v>
      </c>
      <c r="G569" s="1" t="str">
        <f>IF(A569 = "", "", COUNTIF('Game Record'!G:G, A569))</f>
        <v/>
      </c>
      <c r="H569" s="6" t="str">
        <f>IF(A569 = "", "", COUNTIF('Game Record'!H:H, A569))</f>
        <v/>
      </c>
      <c r="I569" s="2">
        <f>IFERROR(__xludf.DUMMYFUNCTION("SUM(FILTER(TeamARecordSet, INDEX(TeamARecordSet, 0, 1) = A569)) + SUM(FILTER(TeamBRecordSet, INDEX(TeamBRecordSet, 0, 1) = A569))"),0.0)</f>
        <v>0</v>
      </c>
      <c r="J569" s="2">
        <f t="shared" si="2"/>
        <v>0</v>
      </c>
      <c r="K569" s="2" t="str">
        <f t="shared" si="3"/>
        <v/>
      </c>
    </row>
    <row r="570">
      <c r="A570" s="2"/>
      <c r="B570" s="7"/>
      <c r="D570" s="5" t="str">
        <f>IF(A570 = "", "", COUNTIFS('Game Record'!G:G, A570, 'Game Record'!E:E, C570))</f>
        <v/>
      </c>
      <c r="E570" s="6" t="str">
        <f>IF(A570 = "", "", COUNTIFS('Game Record'!H:H, A570, 'Game Record'!E:E, C570))</f>
        <v/>
      </c>
      <c r="F570" s="2">
        <f t="shared" si="1"/>
        <v>0</v>
      </c>
      <c r="G570" s="1" t="str">
        <f>IF(A570 = "", "", COUNTIF('Game Record'!G:G, A570))</f>
        <v/>
      </c>
      <c r="H570" s="6" t="str">
        <f>IF(A570 = "", "", COUNTIF('Game Record'!H:H, A570))</f>
        <v/>
      </c>
      <c r="I570" s="2">
        <f>IFERROR(__xludf.DUMMYFUNCTION("SUM(FILTER(TeamARecordSet, INDEX(TeamARecordSet, 0, 1) = A570)) + SUM(FILTER(TeamBRecordSet, INDEX(TeamBRecordSet, 0, 1) = A570))"),0.0)</f>
        <v>0</v>
      </c>
      <c r="J570" s="2">
        <f t="shared" si="2"/>
        <v>0</v>
      </c>
      <c r="K570" s="2" t="str">
        <f t="shared" si="3"/>
        <v/>
      </c>
    </row>
    <row r="571">
      <c r="A571" s="2"/>
      <c r="B571" s="7"/>
      <c r="D571" s="5" t="str">
        <f>IF(A571 = "", "", COUNTIFS('Game Record'!G:G, A571, 'Game Record'!E:E, C571))</f>
        <v/>
      </c>
      <c r="E571" s="6" t="str">
        <f>IF(A571 = "", "", COUNTIFS('Game Record'!H:H, A571, 'Game Record'!E:E, C571))</f>
        <v/>
      </c>
      <c r="F571" s="2">
        <f t="shared" si="1"/>
        <v>0</v>
      </c>
      <c r="G571" s="1" t="str">
        <f>IF(A571 = "", "", COUNTIF('Game Record'!G:G, A571))</f>
        <v/>
      </c>
      <c r="H571" s="6" t="str">
        <f>IF(A571 = "", "", COUNTIF('Game Record'!H:H, A571))</f>
        <v/>
      </c>
      <c r="I571" s="2">
        <f>IFERROR(__xludf.DUMMYFUNCTION("SUM(FILTER(TeamARecordSet, INDEX(TeamARecordSet, 0, 1) = A571)) + SUM(FILTER(TeamBRecordSet, INDEX(TeamBRecordSet, 0, 1) = A571))"),0.0)</f>
        <v>0</v>
      </c>
      <c r="J571" s="2">
        <f t="shared" si="2"/>
        <v>0</v>
      </c>
      <c r="K571" s="2" t="str">
        <f t="shared" si="3"/>
        <v/>
      </c>
    </row>
    <row r="572">
      <c r="A572" s="2"/>
      <c r="B572" s="7"/>
      <c r="D572" s="5" t="str">
        <f>IF(A572 = "", "", COUNTIFS('Game Record'!G:G, A572, 'Game Record'!E:E, C572))</f>
        <v/>
      </c>
      <c r="E572" s="6" t="str">
        <f>IF(A572 = "", "", COUNTIFS('Game Record'!H:H, A572, 'Game Record'!E:E, C572))</f>
        <v/>
      </c>
      <c r="F572" s="2">
        <f t="shared" si="1"/>
        <v>0</v>
      </c>
      <c r="G572" s="1" t="str">
        <f>IF(A572 = "", "", COUNTIF('Game Record'!G:G, A572))</f>
        <v/>
      </c>
      <c r="H572" s="6" t="str">
        <f>IF(A572 = "", "", COUNTIF('Game Record'!H:H, A572))</f>
        <v/>
      </c>
      <c r="I572" s="2">
        <f>IFERROR(__xludf.DUMMYFUNCTION("SUM(FILTER(TeamARecordSet, INDEX(TeamARecordSet, 0, 1) = A572)) + SUM(FILTER(TeamBRecordSet, INDEX(TeamBRecordSet, 0, 1) = A572))"),0.0)</f>
        <v>0</v>
      </c>
      <c r="J572" s="2">
        <f t="shared" si="2"/>
        <v>0</v>
      </c>
      <c r="K572" s="2" t="str">
        <f t="shared" si="3"/>
        <v/>
      </c>
    </row>
    <row r="573">
      <c r="A573" s="2"/>
      <c r="B573" s="7"/>
      <c r="D573" s="5" t="str">
        <f>IF(A573 = "", "", COUNTIFS('Game Record'!G:G, A573, 'Game Record'!E:E, C573))</f>
        <v/>
      </c>
      <c r="E573" s="6" t="str">
        <f>IF(A573 = "", "", COUNTIFS('Game Record'!H:H, A573, 'Game Record'!E:E, C573))</f>
        <v/>
      </c>
      <c r="F573" s="2">
        <f t="shared" si="1"/>
        <v>0</v>
      </c>
      <c r="G573" s="1" t="str">
        <f>IF(A573 = "", "", COUNTIF('Game Record'!G:G, A573))</f>
        <v/>
      </c>
      <c r="H573" s="6" t="str">
        <f>IF(A573 = "", "", COUNTIF('Game Record'!H:H, A573))</f>
        <v/>
      </c>
      <c r="I573" s="2">
        <f>IFERROR(__xludf.DUMMYFUNCTION("SUM(FILTER(TeamARecordSet, INDEX(TeamARecordSet, 0, 1) = A573)) + SUM(FILTER(TeamBRecordSet, INDEX(TeamBRecordSet, 0, 1) = A573))"),0.0)</f>
        <v>0</v>
      </c>
      <c r="J573" s="2">
        <f t="shared" si="2"/>
        <v>0</v>
      </c>
      <c r="K573" s="2" t="str">
        <f t="shared" si="3"/>
        <v/>
      </c>
    </row>
    <row r="574">
      <c r="A574" s="2"/>
      <c r="B574" s="7"/>
      <c r="D574" s="5" t="str">
        <f>IF(A574 = "", "", COUNTIFS('Game Record'!G:G, A574, 'Game Record'!E:E, C574))</f>
        <v/>
      </c>
      <c r="E574" s="6" t="str">
        <f>IF(A574 = "", "", COUNTIFS('Game Record'!H:H, A574, 'Game Record'!E:E, C574))</f>
        <v/>
      </c>
      <c r="F574" s="2">
        <f t="shared" si="1"/>
        <v>0</v>
      </c>
      <c r="G574" s="1" t="str">
        <f>IF(A574 = "", "", COUNTIF('Game Record'!G:G, A574))</f>
        <v/>
      </c>
      <c r="H574" s="6" t="str">
        <f>IF(A574 = "", "", COUNTIF('Game Record'!H:H, A574))</f>
        <v/>
      </c>
      <c r="I574" s="2">
        <f>IFERROR(__xludf.DUMMYFUNCTION("SUM(FILTER(TeamARecordSet, INDEX(TeamARecordSet, 0, 1) = A574)) + SUM(FILTER(TeamBRecordSet, INDEX(TeamBRecordSet, 0, 1) = A574))"),0.0)</f>
        <v>0</v>
      </c>
      <c r="J574" s="2">
        <f t="shared" si="2"/>
        <v>0</v>
      </c>
      <c r="K574" s="2" t="str">
        <f t="shared" si="3"/>
        <v/>
      </c>
    </row>
    <row r="575">
      <c r="A575" s="2"/>
      <c r="B575" s="7"/>
      <c r="D575" s="5" t="str">
        <f>IF(A575 = "", "", COUNTIFS('Game Record'!G:G, A575, 'Game Record'!E:E, C575))</f>
        <v/>
      </c>
      <c r="E575" s="6" t="str">
        <f>IF(A575 = "", "", COUNTIFS('Game Record'!H:H, A575, 'Game Record'!E:E, C575))</f>
        <v/>
      </c>
      <c r="F575" s="2">
        <f t="shared" si="1"/>
        <v>0</v>
      </c>
      <c r="G575" s="1" t="str">
        <f>IF(A575 = "", "", COUNTIF('Game Record'!G:G, A575))</f>
        <v/>
      </c>
      <c r="H575" s="6" t="str">
        <f>IF(A575 = "", "", COUNTIF('Game Record'!H:H, A575))</f>
        <v/>
      </c>
      <c r="I575" s="2">
        <f>IFERROR(__xludf.DUMMYFUNCTION("SUM(FILTER(TeamARecordSet, INDEX(TeamARecordSet, 0, 1) = A575)) + SUM(FILTER(TeamBRecordSet, INDEX(TeamBRecordSet, 0, 1) = A575))"),0.0)</f>
        <v>0</v>
      </c>
      <c r="J575" s="2">
        <f t="shared" si="2"/>
        <v>0</v>
      </c>
      <c r="K575" s="2" t="str">
        <f t="shared" si="3"/>
        <v/>
      </c>
    </row>
    <row r="576">
      <c r="A576" s="2"/>
      <c r="B576" s="7"/>
      <c r="D576" s="5" t="str">
        <f>IF(A576 = "", "", COUNTIFS('Game Record'!G:G, A576, 'Game Record'!E:E, C576))</f>
        <v/>
      </c>
      <c r="E576" s="6" t="str">
        <f>IF(A576 = "", "", COUNTIFS('Game Record'!H:H, A576, 'Game Record'!E:E, C576))</f>
        <v/>
      </c>
      <c r="F576" s="2">
        <f t="shared" si="1"/>
        <v>0</v>
      </c>
      <c r="G576" s="1" t="str">
        <f>IF(A576 = "", "", COUNTIF('Game Record'!G:G, A576))</f>
        <v/>
      </c>
      <c r="H576" s="6" t="str">
        <f>IF(A576 = "", "", COUNTIF('Game Record'!H:H, A576))</f>
        <v/>
      </c>
      <c r="I576" s="2">
        <f>IFERROR(__xludf.DUMMYFUNCTION("SUM(FILTER(TeamARecordSet, INDEX(TeamARecordSet, 0, 1) = A576)) + SUM(FILTER(TeamBRecordSet, INDEX(TeamBRecordSet, 0, 1) = A576))"),0.0)</f>
        <v>0</v>
      </c>
      <c r="J576" s="2">
        <f t="shared" si="2"/>
        <v>0</v>
      </c>
      <c r="K576" s="2" t="str">
        <f t="shared" si="3"/>
        <v/>
      </c>
    </row>
    <row r="577">
      <c r="A577" s="2"/>
      <c r="B577" s="7"/>
      <c r="D577" s="5" t="str">
        <f>IF(A577 = "", "", COUNTIFS('Game Record'!G:G, A577, 'Game Record'!E:E, C577))</f>
        <v/>
      </c>
      <c r="E577" s="6" t="str">
        <f>IF(A577 = "", "", COUNTIFS('Game Record'!H:H, A577, 'Game Record'!E:E, C577))</f>
        <v/>
      </c>
      <c r="F577" s="2">
        <f t="shared" si="1"/>
        <v>0</v>
      </c>
      <c r="G577" s="1" t="str">
        <f>IF(A577 = "", "", COUNTIF('Game Record'!G:G, A577))</f>
        <v/>
      </c>
      <c r="H577" s="6" t="str">
        <f>IF(A577 = "", "", COUNTIF('Game Record'!H:H, A577))</f>
        <v/>
      </c>
      <c r="I577" s="2">
        <f>IFERROR(__xludf.DUMMYFUNCTION("SUM(FILTER(TeamARecordSet, INDEX(TeamARecordSet, 0, 1) = A577)) + SUM(FILTER(TeamBRecordSet, INDEX(TeamBRecordSet, 0, 1) = A577))"),0.0)</f>
        <v>0</v>
      </c>
      <c r="J577" s="2">
        <f t="shared" si="2"/>
        <v>0</v>
      </c>
      <c r="K577" s="2" t="str">
        <f t="shared" si="3"/>
        <v/>
      </c>
    </row>
    <row r="578">
      <c r="A578" s="2"/>
      <c r="B578" s="7"/>
      <c r="D578" s="5" t="str">
        <f>IF(A578 = "", "", COUNTIFS('Game Record'!G:G, A578, 'Game Record'!E:E, C578))</f>
        <v/>
      </c>
      <c r="E578" s="6" t="str">
        <f>IF(A578 = "", "", COUNTIFS('Game Record'!H:H, A578, 'Game Record'!E:E, C578))</f>
        <v/>
      </c>
      <c r="F578" s="2">
        <f t="shared" si="1"/>
        <v>0</v>
      </c>
      <c r="G578" s="1" t="str">
        <f>IF(A578 = "", "", COUNTIF('Game Record'!G:G, A578))</f>
        <v/>
      </c>
      <c r="H578" s="6" t="str">
        <f>IF(A578 = "", "", COUNTIF('Game Record'!H:H, A578))</f>
        <v/>
      </c>
      <c r="I578" s="2">
        <f>IFERROR(__xludf.DUMMYFUNCTION("SUM(FILTER(TeamARecordSet, INDEX(TeamARecordSet, 0, 1) = A578)) + SUM(FILTER(TeamBRecordSet, INDEX(TeamBRecordSet, 0, 1) = A578))"),0.0)</f>
        <v>0</v>
      </c>
      <c r="J578" s="2">
        <f t="shared" si="2"/>
        <v>0</v>
      </c>
      <c r="K578" s="2" t="str">
        <f t="shared" si="3"/>
        <v/>
      </c>
    </row>
    <row r="579">
      <c r="A579" s="2"/>
      <c r="B579" s="7"/>
      <c r="D579" s="5" t="str">
        <f>IF(A579 = "", "", COUNTIFS('Game Record'!G:G, A579, 'Game Record'!E:E, C579))</f>
        <v/>
      </c>
      <c r="E579" s="6" t="str">
        <f>IF(A579 = "", "", COUNTIFS('Game Record'!H:H, A579, 'Game Record'!E:E, C579))</f>
        <v/>
      </c>
      <c r="F579" s="2">
        <f t="shared" si="1"/>
        <v>0</v>
      </c>
      <c r="G579" s="1" t="str">
        <f>IF(A579 = "", "", COUNTIF('Game Record'!G:G, A579))</f>
        <v/>
      </c>
      <c r="H579" s="6" t="str">
        <f>IF(A579 = "", "", COUNTIF('Game Record'!H:H, A579))</f>
        <v/>
      </c>
      <c r="I579" s="2">
        <f>IFERROR(__xludf.DUMMYFUNCTION("SUM(FILTER(TeamARecordSet, INDEX(TeamARecordSet, 0, 1) = A579)) + SUM(FILTER(TeamBRecordSet, INDEX(TeamBRecordSet, 0, 1) = A579))"),0.0)</f>
        <v>0</v>
      </c>
      <c r="J579" s="2">
        <f t="shared" si="2"/>
        <v>0</v>
      </c>
      <c r="K579" s="2" t="str">
        <f t="shared" si="3"/>
        <v/>
      </c>
    </row>
    <row r="580">
      <c r="A580" s="2"/>
      <c r="B580" s="7"/>
      <c r="D580" s="5" t="str">
        <f>IF(A580 = "", "", COUNTIFS('Game Record'!G:G, A580, 'Game Record'!E:E, C580))</f>
        <v/>
      </c>
      <c r="E580" s="6" t="str">
        <f>IF(A580 = "", "", COUNTIFS('Game Record'!H:H, A580, 'Game Record'!E:E, C580))</f>
        <v/>
      </c>
      <c r="F580" s="2">
        <f t="shared" si="1"/>
        <v>0</v>
      </c>
      <c r="G580" s="1" t="str">
        <f>IF(A580 = "", "", COUNTIF('Game Record'!G:G, A580))</f>
        <v/>
      </c>
      <c r="H580" s="6" t="str">
        <f>IF(A580 = "", "", COUNTIF('Game Record'!H:H, A580))</f>
        <v/>
      </c>
      <c r="I580" s="2">
        <f>IFERROR(__xludf.DUMMYFUNCTION("SUM(FILTER(TeamARecordSet, INDEX(TeamARecordSet, 0, 1) = A580)) + SUM(FILTER(TeamBRecordSet, INDEX(TeamBRecordSet, 0, 1) = A580))"),0.0)</f>
        <v>0</v>
      </c>
      <c r="J580" s="2">
        <f t="shared" si="2"/>
        <v>0</v>
      </c>
      <c r="K580" s="2" t="str">
        <f t="shared" si="3"/>
        <v/>
      </c>
    </row>
    <row r="581">
      <c r="A581" s="2"/>
      <c r="B581" s="7"/>
      <c r="D581" s="5" t="str">
        <f>IF(A581 = "", "", COUNTIFS('Game Record'!G:G, A581, 'Game Record'!E:E, C581))</f>
        <v/>
      </c>
      <c r="E581" s="6" t="str">
        <f>IF(A581 = "", "", COUNTIFS('Game Record'!H:H, A581, 'Game Record'!E:E, C581))</f>
        <v/>
      </c>
      <c r="F581" s="2">
        <f t="shared" si="1"/>
        <v>0</v>
      </c>
      <c r="G581" s="1" t="str">
        <f>IF(A581 = "", "", COUNTIF('Game Record'!G:G, A581))</f>
        <v/>
      </c>
      <c r="H581" s="6" t="str">
        <f>IF(A581 = "", "", COUNTIF('Game Record'!H:H, A581))</f>
        <v/>
      </c>
      <c r="I581" s="2">
        <f>IFERROR(__xludf.DUMMYFUNCTION("SUM(FILTER(TeamARecordSet, INDEX(TeamARecordSet, 0, 1) = A581)) + SUM(FILTER(TeamBRecordSet, INDEX(TeamBRecordSet, 0, 1) = A581))"),0.0)</f>
        <v>0</v>
      </c>
      <c r="J581" s="2">
        <f t="shared" si="2"/>
        <v>0</v>
      </c>
      <c r="K581" s="2" t="str">
        <f t="shared" si="3"/>
        <v/>
      </c>
    </row>
    <row r="582">
      <c r="A582" s="2"/>
      <c r="B582" s="7"/>
      <c r="D582" s="5" t="str">
        <f>IF(A582 = "", "", COUNTIFS('Game Record'!G:G, A582, 'Game Record'!E:E, C582))</f>
        <v/>
      </c>
      <c r="E582" s="6" t="str">
        <f>IF(A582 = "", "", COUNTIFS('Game Record'!H:H, A582, 'Game Record'!E:E, C582))</f>
        <v/>
      </c>
      <c r="F582" s="2">
        <f t="shared" si="1"/>
        <v>0</v>
      </c>
      <c r="G582" s="1" t="str">
        <f>IF(A582 = "", "", COUNTIF('Game Record'!G:G, A582))</f>
        <v/>
      </c>
      <c r="H582" s="6" t="str">
        <f>IF(A582 = "", "", COUNTIF('Game Record'!H:H, A582))</f>
        <v/>
      </c>
      <c r="I582" s="2">
        <f>IFERROR(__xludf.DUMMYFUNCTION("SUM(FILTER(TeamARecordSet, INDEX(TeamARecordSet, 0, 1) = A582)) + SUM(FILTER(TeamBRecordSet, INDEX(TeamBRecordSet, 0, 1) = A582))"),0.0)</f>
        <v>0</v>
      </c>
      <c r="J582" s="2">
        <f t="shared" si="2"/>
        <v>0</v>
      </c>
      <c r="K582" s="2" t="str">
        <f t="shared" si="3"/>
        <v/>
      </c>
    </row>
    <row r="583">
      <c r="A583" s="2"/>
      <c r="B583" s="7"/>
      <c r="D583" s="5" t="str">
        <f>IF(A583 = "", "", COUNTIFS('Game Record'!G:G, A583, 'Game Record'!E:E, C583))</f>
        <v/>
      </c>
      <c r="E583" s="6" t="str">
        <f>IF(A583 = "", "", COUNTIFS('Game Record'!H:H, A583, 'Game Record'!E:E, C583))</f>
        <v/>
      </c>
      <c r="F583" s="2">
        <f t="shared" si="1"/>
        <v>0</v>
      </c>
      <c r="G583" s="1" t="str">
        <f>IF(A583 = "", "", COUNTIF('Game Record'!G:G, A583))</f>
        <v/>
      </c>
      <c r="H583" s="6" t="str">
        <f>IF(A583 = "", "", COUNTIF('Game Record'!H:H, A583))</f>
        <v/>
      </c>
      <c r="I583" s="2">
        <f>IFERROR(__xludf.DUMMYFUNCTION("SUM(FILTER(TeamARecordSet, INDEX(TeamARecordSet, 0, 1) = A583)) + SUM(FILTER(TeamBRecordSet, INDEX(TeamBRecordSet, 0, 1) = A583))"),0.0)</f>
        <v>0</v>
      </c>
      <c r="J583" s="2">
        <f t="shared" si="2"/>
        <v>0</v>
      </c>
      <c r="K583" s="2" t="str">
        <f t="shared" si="3"/>
        <v/>
      </c>
    </row>
    <row r="584">
      <c r="A584" s="2"/>
      <c r="B584" s="7"/>
      <c r="D584" s="5" t="str">
        <f>IF(A584 = "", "", COUNTIFS('Game Record'!G:G, A584, 'Game Record'!E:E, C584))</f>
        <v/>
      </c>
      <c r="E584" s="6" t="str">
        <f>IF(A584 = "", "", COUNTIFS('Game Record'!H:H, A584, 'Game Record'!E:E, C584))</f>
        <v/>
      </c>
      <c r="F584" s="2">
        <f t="shared" si="1"/>
        <v>0</v>
      </c>
      <c r="G584" s="1" t="str">
        <f>IF(A584 = "", "", COUNTIF('Game Record'!G:G, A584))</f>
        <v/>
      </c>
      <c r="H584" s="6" t="str">
        <f>IF(A584 = "", "", COUNTIF('Game Record'!H:H, A584))</f>
        <v/>
      </c>
      <c r="I584" s="2">
        <f>IFERROR(__xludf.DUMMYFUNCTION("SUM(FILTER(TeamARecordSet, INDEX(TeamARecordSet, 0, 1) = A584)) + SUM(FILTER(TeamBRecordSet, INDEX(TeamBRecordSet, 0, 1) = A584))"),0.0)</f>
        <v>0</v>
      </c>
      <c r="J584" s="2">
        <f t="shared" si="2"/>
        <v>0</v>
      </c>
      <c r="K584" s="2" t="str">
        <f t="shared" si="3"/>
        <v/>
      </c>
    </row>
    <row r="585">
      <c r="A585" s="2"/>
      <c r="B585" s="7"/>
      <c r="D585" s="5" t="str">
        <f>IF(A585 = "", "", COUNTIFS('Game Record'!G:G, A585, 'Game Record'!E:E, C585))</f>
        <v/>
      </c>
      <c r="E585" s="6" t="str">
        <f>IF(A585 = "", "", COUNTIFS('Game Record'!H:H, A585, 'Game Record'!E:E, C585))</f>
        <v/>
      </c>
      <c r="F585" s="2">
        <f t="shared" si="1"/>
        <v>0</v>
      </c>
      <c r="G585" s="1" t="str">
        <f>IF(A585 = "", "", COUNTIF('Game Record'!G:G, A585))</f>
        <v/>
      </c>
      <c r="H585" s="6" t="str">
        <f>IF(A585 = "", "", COUNTIF('Game Record'!H:H, A585))</f>
        <v/>
      </c>
      <c r="I585" s="2">
        <f>IFERROR(__xludf.DUMMYFUNCTION("SUM(FILTER(TeamARecordSet, INDEX(TeamARecordSet, 0, 1) = A585)) + SUM(FILTER(TeamBRecordSet, INDEX(TeamBRecordSet, 0, 1) = A585))"),0.0)</f>
        <v>0</v>
      </c>
      <c r="J585" s="2">
        <f t="shared" si="2"/>
        <v>0</v>
      </c>
      <c r="K585" s="2" t="str">
        <f t="shared" si="3"/>
        <v/>
      </c>
    </row>
    <row r="586">
      <c r="A586" s="2"/>
      <c r="B586" s="7"/>
      <c r="D586" s="5" t="str">
        <f>IF(A586 = "", "", COUNTIFS('Game Record'!G:G, A586, 'Game Record'!E:E, C586))</f>
        <v/>
      </c>
      <c r="E586" s="6" t="str">
        <f>IF(A586 = "", "", COUNTIFS('Game Record'!H:H, A586, 'Game Record'!E:E, C586))</f>
        <v/>
      </c>
      <c r="F586" s="2">
        <f t="shared" si="1"/>
        <v>0</v>
      </c>
      <c r="G586" s="1" t="str">
        <f>IF(A586 = "", "", COUNTIF('Game Record'!G:G, A586))</f>
        <v/>
      </c>
      <c r="H586" s="6" t="str">
        <f>IF(A586 = "", "", COUNTIF('Game Record'!H:H, A586))</f>
        <v/>
      </c>
      <c r="I586" s="2">
        <f>IFERROR(__xludf.DUMMYFUNCTION("SUM(FILTER(TeamARecordSet, INDEX(TeamARecordSet, 0, 1) = A586)) + SUM(FILTER(TeamBRecordSet, INDEX(TeamBRecordSet, 0, 1) = A586))"),0.0)</f>
        <v>0</v>
      </c>
      <c r="J586" s="2">
        <f t="shared" si="2"/>
        <v>0</v>
      </c>
      <c r="K586" s="2" t="str">
        <f t="shared" si="3"/>
        <v/>
      </c>
    </row>
    <row r="587">
      <c r="A587" s="2"/>
      <c r="B587" s="7"/>
      <c r="D587" s="5" t="str">
        <f>IF(A587 = "", "", COUNTIFS('Game Record'!G:G, A587, 'Game Record'!E:E, C587))</f>
        <v/>
      </c>
      <c r="E587" s="6" t="str">
        <f>IF(A587 = "", "", COUNTIFS('Game Record'!H:H, A587, 'Game Record'!E:E, C587))</f>
        <v/>
      </c>
      <c r="F587" s="2">
        <f t="shared" si="1"/>
        <v>0</v>
      </c>
      <c r="G587" s="1" t="str">
        <f>IF(A587 = "", "", COUNTIF('Game Record'!G:G, A587))</f>
        <v/>
      </c>
      <c r="H587" s="6" t="str">
        <f>IF(A587 = "", "", COUNTIF('Game Record'!H:H, A587))</f>
        <v/>
      </c>
      <c r="I587" s="2">
        <f>IFERROR(__xludf.DUMMYFUNCTION("SUM(FILTER(TeamARecordSet, INDEX(TeamARecordSet, 0, 1) = A587)) + SUM(FILTER(TeamBRecordSet, INDEX(TeamBRecordSet, 0, 1) = A587))"),0.0)</f>
        <v>0</v>
      </c>
      <c r="J587" s="2">
        <f t="shared" si="2"/>
        <v>0</v>
      </c>
      <c r="K587" s="2" t="str">
        <f t="shared" si="3"/>
        <v/>
      </c>
    </row>
    <row r="588">
      <c r="A588" s="2"/>
      <c r="B588" s="7"/>
      <c r="D588" s="5" t="str">
        <f>IF(A588 = "", "", COUNTIFS('Game Record'!G:G, A588, 'Game Record'!E:E, C588))</f>
        <v/>
      </c>
      <c r="E588" s="6" t="str">
        <f>IF(A588 = "", "", COUNTIFS('Game Record'!H:H, A588, 'Game Record'!E:E, C588))</f>
        <v/>
      </c>
      <c r="F588" s="2">
        <f t="shared" si="1"/>
        <v>0</v>
      </c>
      <c r="G588" s="1" t="str">
        <f>IF(A588 = "", "", COUNTIF('Game Record'!G:G, A588))</f>
        <v/>
      </c>
      <c r="H588" s="6" t="str">
        <f>IF(A588 = "", "", COUNTIF('Game Record'!H:H, A588))</f>
        <v/>
      </c>
      <c r="I588" s="2">
        <f>IFERROR(__xludf.DUMMYFUNCTION("SUM(FILTER(TeamARecordSet, INDEX(TeamARecordSet, 0, 1) = A588)) + SUM(FILTER(TeamBRecordSet, INDEX(TeamBRecordSet, 0, 1) = A588))"),0.0)</f>
        <v>0</v>
      </c>
      <c r="J588" s="2">
        <f t="shared" si="2"/>
        <v>0</v>
      </c>
      <c r="K588" s="2" t="str">
        <f t="shared" si="3"/>
        <v/>
      </c>
    </row>
    <row r="589">
      <c r="A589" s="2"/>
      <c r="B589" s="7"/>
      <c r="D589" s="5" t="str">
        <f>IF(A589 = "", "", COUNTIFS('Game Record'!G:G, A589, 'Game Record'!E:E, C589))</f>
        <v/>
      </c>
      <c r="E589" s="6" t="str">
        <f>IF(A589 = "", "", COUNTIFS('Game Record'!H:H, A589, 'Game Record'!E:E, C589))</f>
        <v/>
      </c>
      <c r="F589" s="2">
        <f t="shared" si="1"/>
        <v>0</v>
      </c>
      <c r="G589" s="1" t="str">
        <f>IF(A589 = "", "", COUNTIF('Game Record'!G:G, A589))</f>
        <v/>
      </c>
      <c r="H589" s="6" t="str">
        <f>IF(A589 = "", "", COUNTIF('Game Record'!H:H, A589))</f>
        <v/>
      </c>
      <c r="I589" s="2">
        <f>IFERROR(__xludf.DUMMYFUNCTION("SUM(FILTER(TeamARecordSet, INDEX(TeamARecordSet, 0, 1) = A589)) + SUM(FILTER(TeamBRecordSet, INDEX(TeamBRecordSet, 0, 1) = A589))"),0.0)</f>
        <v>0</v>
      </c>
      <c r="J589" s="2">
        <f t="shared" si="2"/>
        <v>0</v>
      </c>
      <c r="K589" s="2" t="str">
        <f t="shared" si="3"/>
        <v/>
      </c>
    </row>
    <row r="590">
      <c r="A590" s="2"/>
      <c r="B590" s="7"/>
      <c r="D590" s="5" t="str">
        <f>IF(A590 = "", "", COUNTIFS('Game Record'!G:G, A590, 'Game Record'!E:E, C590))</f>
        <v/>
      </c>
      <c r="E590" s="6" t="str">
        <f>IF(A590 = "", "", COUNTIFS('Game Record'!H:H, A590, 'Game Record'!E:E, C590))</f>
        <v/>
      </c>
      <c r="F590" s="2">
        <f t="shared" si="1"/>
        <v>0</v>
      </c>
      <c r="G590" s="1" t="str">
        <f>IF(A590 = "", "", COUNTIF('Game Record'!G:G, A590))</f>
        <v/>
      </c>
      <c r="H590" s="6" t="str">
        <f>IF(A590 = "", "", COUNTIF('Game Record'!H:H, A590))</f>
        <v/>
      </c>
      <c r="I590" s="2">
        <f>IFERROR(__xludf.DUMMYFUNCTION("SUM(FILTER(TeamARecordSet, INDEX(TeamARecordSet, 0, 1) = A590)) + SUM(FILTER(TeamBRecordSet, INDEX(TeamBRecordSet, 0, 1) = A590))"),0.0)</f>
        <v>0</v>
      </c>
      <c r="J590" s="2">
        <f t="shared" si="2"/>
        <v>0</v>
      </c>
      <c r="K590" s="2" t="str">
        <f t="shared" si="3"/>
        <v/>
      </c>
    </row>
    <row r="591">
      <c r="A591" s="2"/>
      <c r="B591" s="7"/>
      <c r="D591" s="5" t="str">
        <f>IF(A591 = "", "", COUNTIFS('Game Record'!G:G, A591, 'Game Record'!E:E, C591))</f>
        <v/>
      </c>
      <c r="E591" s="6" t="str">
        <f>IF(A591 = "", "", COUNTIFS('Game Record'!H:H, A591, 'Game Record'!E:E, C591))</f>
        <v/>
      </c>
      <c r="F591" s="2">
        <f t="shared" si="1"/>
        <v>0</v>
      </c>
      <c r="G591" s="1" t="str">
        <f>IF(A591 = "", "", COUNTIF('Game Record'!G:G, A591))</f>
        <v/>
      </c>
      <c r="H591" s="6" t="str">
        <f>IF(A591 = "", "", COUNTIF('Game Record'!H:H, A591))</f>
        <v/>
      </c>
      <c r="I591" s="2">
        <f>IFERROR(__xludf.DUMMYFUNCTION("SUM(FILTER(TeamARecordSet, INDEX(TeamARecordSet, 0, 1) = A591)) + SUM(FILTER(TeamBRecordSet, INDEX(TeamBRecordSet, 0, 1) = A591))"),0.0)</f>
        <v>0</v>
      </c>
      <c r="J591" s="2">
        <f t="shared" si="2"/>
        <v>0</v>
      </c>
      <c r="K591" s="2" t="str">
        <f t="shared" si="3"/>
        <v/>
      </c>
    </row>
    <row r="592">
      <c r="A592" s="2"/>
      <c r="B592" s="7"/>
      <c r="D592" s="5" t="str">
        <f>IF(A592 = "", "", COUNTIFS('Game Record'!G:G, A592, 'Game Record'!E:E, C592))</f>
        <v/>
      </c>
      <c r="E592" s="6" t="str">
        <f>IF(A592 = "", "", COUNTIFS('Game Record'!H:H, A592, 'Game Record'!E:E, C592))</f>
        <v/>
      </c>
      <c r="F592" s="2">
        <f t="shared" si="1"/>
        <v>0</v>
      </c>
      <c r="G592" s="1" t="str">
        <f>IF(A592 = "", "", COUNTIF('Game Record'!G:G, A592))</f>
        <v/>
      </c>
      <c r="H592" s="6" t="str">
        <f>IF(A592 = "", "", COUNTIF('Game Record'!H:H, A592))</f>
        <v/>
      </c>
      <c r="I592" s="2">
        <f>IFERROR(__xludf.DUMMYFUNCTION("SUM(FILTER(TeamARecordSet, INDEX(TeamARecordSet, 0, 1) = A592)) + SUM(FILTER(TeamBRecordSet, INDEX(TeamBRecordSet, 0, 1) = A592))"),0.0)</f>
        <v>0</v>
      </c>
      <c r="J592" s="2">
        <f t="shared" si="2"/>
        <v>0</v>
      </c>
      <c r="K592" s="2" t="str">
        <f t="shared" si="3"/>
        <v/>
      </c>
    </row>
    <row r="593">
      <c r="A593" s="2"/>
      <c r="B593" s="7"/>
      <c r="D593" s="5" t="str">
        <f>IF(A593 = "", "", COUNTIFS('Game Record'!G:G, A593, 'Game Record'!E:E, C593))</f>
        <v/>
      </c>
      <c r="E593" s="6" t="str">
        <f>IF(A593 = "", "", COUNTIFS('Game Record'!H:H, A593, 'Game Record'!E:E, C593))</f>
        <v/>
      </c>
      <c r="F593" s="2">
        <f t="shared" si="1"/>
        <v>0</v>
      </c>
      <c r="G593" s="1" t="str">
        <f>IF(A593 = "", "", COUNTIF('Game Record'!G:G, A593))</f>
        <v/>
      </c>
      <c r="H593" s="6" t="str">
        <f>IF(A593 = "", "", COUNTIF('Game Record'!H:H, A593))</f>
        <v/>
      </c>
      <c r="I593" s="2">
        <f>IFERROR(__xludf.DUMMYFUNCTION("SUM(FILTER(TeamARecordSet, INDEX(TeamARecordSet, 0, 1) = A593)) + SUM(FILTER(TeamBRecordSet, INDEX(TeamBRecordSet, 0, 1) = A593))"),0.0)</f>
        <v>0</v>
      </c>
      <c r="J593" s="2">
        <f t="shared" si="2"/>
        <v>0</v>
      </c>
      <c r="K593" s="2" t="str">
        <f t="shared" si="3"/>
        <v/>
      </c>
    </row>
    <row r="594">
      <c r="A594" s="2"/>
      <c r="B594" s="7"/>
      <c r="D594" s="5" t="str">
        <f>IF(A594 = "", "", COUNTIFS('Game Record'!G:G, A594, 'Game Record'!E:E, C594))</f>
        <v/>
      </c>
      <c r="E594" s="6" t="str">
        <f>IF(A594 = "", "", COUNTIFS('Game Record'!H:H, A594, 'Game Record'!E:E, C594))</f>
        <v/>
      </c>
      <c r="F594" s="2">
        <f t="shared" si="1"/>
        <v>0</v>
      </c>
      <c r="G594" s="1" t="str">
        <f>IF(A594 = "", "", COUNTIF('Game Record'!G:G, A594))</f>
        <v/>
      </c>
      <c r="H594" s="6" t="str">
        <f>IF(A594 = "", "", COUNTIF('Game Record'!H:H, A594))</f>
        <v/>
      </c>
      <c r="I594" s="2">
        <f>IFERROR(__xludf.DUMMYFUNCTION("SUM(FILTER(TeamARecordSet, INDEX(TeamARecordSet, 0, 1) = A594)) + SUM(FILTER(TeamBRecordSet, INDEX(TeamBRecordSet, 0, 1) = A594))"),0.0)</f>
        <v>0</v>
      </c>
      <c r="J594" s="2">
        <f t="shared" si="2"/>
        <v>0</v>
      </c>
      <c r="K594" s="2" t="str">
        <f t="shared" si="3"/>
        <v/>
      </c>
    </row>
    <row r="595">
      <c r="A595" s="2"/>
      <c r="B595" s="7"/>
      <c r="D595" s="5" t="str">
        <f>IF(A595 = "", "", COUNTIFS('Game Record'!G:G, A595, 'Game Record'!E:E, C595))</f>
        <v/>
      </c>
      <c r="E595" s="6" t="str">
        <f>IF(A595 = "", "", COUNTIFS('Game Record'!H:H, A595, 'Game Record'!E:E, C595))</f>
        <v/>
      </c>
      <c r="F595" s="2">
        <f t="shared" si="1"/>
        <v>0</v>
      </c>
      <c r="G595" s="1" t="str">
        <f>IF(A595 = "", "", COUNTIF('Game Record'!G:G, A595))</f>
        <v/>
      </c>
      <c r="H595" s="6" t="str">
        <f>IF(A595 = "", "", COUNTIF('Game Record'!H:H, A595))</f>
        <v/>
      </c>
      <c r="I595" s="2">
        <f>IFERROR(__xludf.DUMMYFUNCTION("SUM(FILTER(TeamARecordSet, INDEX(TeamARecordSet, 0, 1) = A595)) + SUM(FILTER(TeamBRecordSet, INDEX(TeamBRecordSet, 0, 1) = A595))"),0.0)</f>
        <v>0</v>
      </c>
      <c r="J595" s="2">
        <f t="shared" si="2"/>
        <v>0</v>
      </c>
      <c r="K595" s="2" t="str">
        <f t="shared" si="3"/>
        <v/>
      </c>
    </row>
    <row r="596">
      <c r="A596" s="2"/>
      <c r="B596" s="7"/>
      <c r="D596" s="5" t="str">
        <f>IF(A596 = "", "", COUNTIFS('Game Record'!G:G, A596, 'Game Record'!E:E, C596))</f>
        <v/>
      </c>
      <c r="E596" s="6" t="str">
        <f>IF(A596 = "", "", COUNTIFS('Game Record'!H:H, A596, 'Game Record'!E:E, C596))</f>
        <v/>
      </c>
      <c r="F596" s="2">
        <f t="shared" si="1"/>
        <v>0</v>
      </c>
      <c r="G596" s="1" t="str">
        <f>IF(A596 = "", "", COUNTIF('Game Record'!G:G, A596))</f>
        <v/>
      </c>
      <c r="H596" s="6" t="str">
        <f>IF(A596 = "", "", COUNTIF('Game Record'!H:H, A596))</f>
        <v/>
      </c>
      <c r="I596" s="2">
        <f>IFERROR(__xludf.DUMMYFUNCTION("SUM(FILTER(TeamARecordSet, INDEX(TeamARecordSet, 0, 1) = A596)) + SUM(FILTER(TeamBRecordSet, INDEX(TeamBRecordSet, 0, 1) = A596))"),0.0)</f>
        <v>0</v>
      </c>
      <c r="J596" s="2">
        <f t="shared" si="2"/>
        <v>0</v>
      </c>
      <c r="K596" s="2" t="str">
        <f t="shared" si="3"/>
        <v/>
      </c>
    </row>
    <row r="597">
      <c r="A597" s="2"/>
      <c r="B597" s="7"/>
      <c r="D597" s="5" t="str">
        <f>IF(A597 = "", "", COUNTIFS('Game Record'!G:G, A597, 'Game Record'!E:E, C597))</f>
        <v/>
      </c>
      <c r="E597" s="6" t="str">
        <f>IF(A597 = "", "", COUNTIFS('Game Record'!H:H, A597, 'Game Record'!E:E, C597))</f>
        <v/>
      </c>
      <c r="F597" s="2">
        <f t="shared" si="1"/>
        <v>0</v>
      </c>
      <c r="G597" s="1" t="str">
        <f>IF(A597 = "", "", COUNTIF('Game Record'!G:G, A597))</f>
        <v/>
      </c>
      <c r="H597" s="6" t="str">
        <f>IF(A597 = "", "", COUNTIF('Game Record'!H:H, A597))</f>
        <v/>
      </c>
      <c r="I597" s="2">
        <f>IFERROR(__xludf.DUMMYFUNCTION("SUM(FILTER(TeamARecordSet, INDEX(TeamARecordSet, 0, 1) = A597)) + SUM(FILTER(TeamBRecordSet, INDEX(TeamBRecordSet, 0, 1) = A597))"),0.0)</f>
        <v>0</v>
      </c>
      <c r="J597" s="2">
        <f t="shared" si="2"/>
        <v>0</v>
      </c>
      <c r="K597" s="2" t="str">
        <f t="shared" si="3"/>
        <v/>
      </c>
    </row>
    <row r="598">
      <c r="A598" s="2"/>
      <c r="B598" s="7"/>
      <c r="D598" s="5" t="str">
        <f>IF(A598 = "", "", COUNTIFS('Game Record'!G:G, A598, 'Game Record'!E:E, C598))</f>
        <v/>
      </c>
      <c r="E598" s="6" t="str">
        <f>IF(A598 = "", "", COUNTIFS('Game Record'!H:H, A598, 'Game Record'!E:E, C598))</f>
        <v/>
      </c>
      <c r="F598" s="2">
        <f t="shared" si="1"/>
        <v>0</v>
      </c>
      <c r="G598" s="1" t="str">
        <f>IF(A598 = "", "", COUNTIF('Game Record'!G:G, A598))</f>
        <v/>
      </c>
      <c r="H598" s="6" t="str">
        <f>IF(A598 = "", "", COUNTIF('Game Record'!H:H, A598))</f>
        <v/>
      </c>
      <c r="I598" s="2">
        <f>IFERROR(__xludf.DUMMYFUNCTION("SUM(FILTER(TeamARecordSet, INDEX(TeamARecordSet, 0, 1) = A598)) + SUM(FILTER(TeamBRecordSet, INDEX(TeamBRecordSet, 0, 1) = A598))"),0.0)</f>
        <v>0</v>
      </c>
      <c r="J598" s="2">
        <f t="shared" si="2"/>
        <v>0</v>
      </c>
      <c r="K598" s="2" t="str">
        <f t="shared" si="3"/>
        <v/>
      </c>
    </row>
    <row r="599">
      <c r="A599" s="2"/>
      <c r="B599" s="7"/>
      <c r="D599" s="5" t="str">
        <f>IF(A599 = "", "", COUNTIFS('Game Record'!G:G, A599, 'Game Record'!E:E, C599))</f>
        <v/>
      </c>
      <c r="E599" s="6" t="str">
        <f>IF(A599 = "", "", COUNTIFS('Game Record'!H:H, A599, 'Game Record'!E:E, C599))</f>
        <v/>
      </c>
      <c r="F599" s="2">
        <f t="shared" si="1"/>
        <v>0</v>
      </c>
      <c r="G599" s="1" t="str">
        <f>IF(A599 = "", "", COUNTIF('Game Record'!G:G, A599))</f>
        <v/>
      </c>
      <c r="H599" s="6" t="str">
        <f>IF(A599 = "", "", COUNTIF('Game Record'!H:H, A599))</f>
        <v/>
      </c>
      <c r="I599" s="2">
        <f>IFERROR(__xludf.DUMMYFUNCTION("SUM(FILTER(TeamARecordSet, INDEX(TeamARecordSet, 0, 1) = A599)) + SUM(FILTER(TeamBRecordSet, INDEX(TeamBRecordSet, 0, 1) = A599))"),0.0)</f>
        <v>0</v>
      </c>
      <c r="J599" s="2">
        <f t="shared" si="2"/>
        <v>0</v>
      </c>
      <c r="K599" s="2" t="str">
        <f t="shared" si="3"/>
        <v/>
      </c>
    </row>
    <row r="600">
      <c r="A600" s="2"/>
      <c r="B600" s="7"/>
      <c r="D600" s="5" t="str">
        <f>IF(A600 = "", "", COUNTIFS('Game Record'!G:G, A600, 'Game Record'!E:E, C600))</f>
        <v/>
      </c>
      <c r="E600" s="6" t="str">
        <f>IF(A600 = "", "", COUNTIFS('Game Record'!H:H, A600, 'Game Record'!E:E, C600))</f>
        <v/>
      </c>
      <c r="F600" s="2">
        <f t="shared" si="1"/>
        <v>0</v>
      </c>
      <c r="G600" s="1" t="str">
        <f>IF(A600 = "", "", COUNTIF('Game Record'!G:G, A600))</f>
        <v/>
      </c>
      <c r="H600" s="6" t="str">
        <f>IF(A600 = "", "", COUNTIF('Game Record'!H:H, A600))</f>
        <v/>
      </c>
      <c r="I600" s="2">
        <f>IFERROR(__xludf.DUMMYFUNCTION("SUM(FILTER(TeamARecordSet, INDEX(TeamARecordSet, 0, 1) = A600)) + SUM(FILTER(TeamBRecordSet, INDEX(TeamBRecordSet, 0, 1) = A600))"),0.0)</f>
        <v>0</v>
      </c>
      <c r="J600" s="2">
        <f t="shared" si="2"/>
        <v>0</v>
      </c>
      <c r="K600" s="2" t="str">
        <f t="shared" si="3"/>
        <v/>
      </c>
    </row>
    <row r="601">
      <c r="A601" s="2"/>
      <c r="B601" s="7"/>
      <c r="D601" s="5" t="str">
        <f>IF(A601 = "", "", COUNTIFS('Game Record'!G:G, A601, 'Game Record'!E:E, C601))</f>
        <v/>
      </c>
      <c r="E601" s="6" t="str">
        <f>IF(A601 = "", "", COUNTIFS('Game Record'!H:H, A601, 'Game Record'!E:E, C601))</f>
        <v/>
      </c>
      <c r="F601" s="2">
        <f t="shared" si="1"/>
        <v>0</v>
      </c>
      <c r="G601" s="1" t="str">
        <f>IF(A601 = "", "", COUNTIF('Game Record'!G:G, A601))</f>
        <v/>
      </c>
      <c r="H601" s="6" t="str">
        <f>IF(A601 = "", "", COUNTIF('Game Record'!H:H, A601))</f>
        <v/>
      </c>
      <c r="I601" s="2">
        <f>IFERROR(__xludf.DUMMYFUNCTION("SUM(FILTER(TeamARecordSet, INDEX(TeamARecordSet, 0, 1) = A601)) + SUM(FILTER(TeamBRecordSet, INDEX(TeamBRecordSet, 0, 1) = A601))"),0.0)</f>
        <v>0</v>
      </c>
      <c r="J601" s="2">
        <f t="shared" si="2"/>
        <v>0</v>
      </c>
      <c r="K601" s="2" t="str">
        <f t="shared" si="3"/>
        <v/>
      </c>
    </row>
    <row r="602">
      <c r="A602" s="2"/>
      <c r="B602" s="7"/>
      <c r="D602" s="5" t="str">
        <f>IF(A602 = "", "", COUNTIFS('Game Record'!G:G, A602, 'Game Record'!E:E, C602))</f>
        <v/>
      </c>
      <c r="E602" s="6" t="str">
        <f>IF(A602 = "", "", COUNTIFS('Game Record'!H:H, A602, 'Game Record'!E:E, C602))</f>
        <v/>
      </c>
      <c r="F602" s="2">
        <f t="shared" si="1"/>
        <v>0</v>
      </c>
      <c r="G602" s="1" t="str">
        <f>IF(A602 = "", "", COUNTIF('Game Record'!G:G, A602))</f>
        <v/>
      </c>
      <c r="H602" s="6" t="str">
        <f>IF(A602 = "", "", COUNTIF('Game Record'!H:H, A602))</f>
        <v/>
      </c>
      <c r="I602" s="2">
        <f>IFERROR(__xludf.DUMMYFUNCTION("SUM(FILTER(TeamARecordSet, INDEX(TeamARecordSet, 0, 1) = A602)) + SUM(FILTER(TeamBRecordSet, INDEX(TeamBRecordSet, 0, 1) = A602))"),0.0)</f>
        <v>0</v>
      </c>
      <c r="J602" s="2">
        <f t="shared" si="2"/>
        <v>0</v>
      </c>
      <c r="K602" s="2" t="str">
        <f t="shared" si="3"/>
        <v/>
      </c>
    </row>
    <row r="603">
      <c r="A603" s="2"/>
      <c r="B603" s="7"/>
      <c r="D603" s="5" t="str">
        <f>IF(A603 = "", "", COUNTIFS('Game Record'!G:G, A603, 'Game Record'!E:E, C603))</f>
        <v/>
      </c>
      <c r="E603" s="6" t="str">
        <f>IF(A603 = "", "", COUNTIFS('Game Record'!H:H, A603, 'Game Record'!E:E, C603))</f>
        <v/>
      </c>
      <c r="F603" s="2">
        <f t="shared" si="1"/>
        <v>0</v>
      </c>
      <c r="G603" s="1" t="str">
        <f>IF(A603 = "", "", COUNTIF('Game Record'!G:G, A603))</f>
        <v/>
      </c>
      <c r="H603" s="6" t="str">
        <f>IF(A603 = "", "", COUNTIF('Game Record'!H:H, A603))</f>
        <v/>
      </c>
      <c r="I603" s="2">
        <f>IFERROR(__xludf.DUMMYFUNCTION("SUM(FILTER(TeamARecordSet, INDEX(TeamARecordSet, 0, 1) = A603)) + SUM(FILTER(TeamBRecordSet, INDEX(TeamBRecordSet, 0, 1) = A603))"),0.0)</f>
        <v>0</v>
      </c>
      <c r="J603" s="2">
        <f t="shared" si="2"/>
        <v>0</v>
      </c>
      <c r="K603" s="2" t="str">
        <f t="shared" si="3"/>
        <v/>
      </c>
    </row>
    <row r="604">
      <c r="A604" s="2"/>
      <c r="B604" s="7"/>
      <c r="D604" s="5" t="str">
        <f>IF(A604 = "", "", COUNTIFS('Game Record'!G:G, A604, 'Game Record'!E:E, C604))</f>
        <v/>
      </c>
      <c r="E604" s="6" t="str">
        <f>IF(A604 = "", "", COUNTIFS('Game Record'!H:H, A604, 'Game Record'!E:E, C604))</f>
        <v/>
      </c>
      <c r="F604" s="2">
        <f t="shared" si="1"/>
        <v>0</v>
      </c>
      <c r="G604" s="1" t="str">
        <f>IF(A604 = "", "", COUNTIF('Game Record'!G:G, A604))</f>
        <v/>
      </c>
      <c r="H604" s="6" t="str">
        <f>IF(A604 = "", "", COUNTIF('Game Record'!H:H, A604))</f>
        <v/>
      </c>
      <c r="I604" s="2">
        <f>IFERROR(__xludf.DUMMYFUNCTION("SUM(FILTER(TeamARecordSet, INDEX(TeamARecordSet, 0, 1) = A604)) + SUM(FILTER(TeamBRecordSet, INDEX(TeamBRecordSet, 0, 1) = A604))"),0.0)</f>
        <v>0</v>
      </c>
      <c r="J604" s="2">
        <f t="shared" si="2"/>
        <v>0</v>
      </c>
      <c r="K604" s="2" t="str">
        <f t="shared" si="3"/>
        <v/>
      </c>
    </row>
    <row r="605">
      <c r="A605" s="2"/>
      <c r="B605" s="7"/>
      <c r="D605" s="5" t="str">
        <f>IF(A605 = "", "", COUNTIFS('Game Record'!G:G, A605, 'Game Record'!E:E, C605))</f>
        <v/>
      </c>
      <c r="E605" s="6" t="str">
        <f>IF(A605 = "", "", COUNTIFS('Game Record'!H:H, A605, 'Game Record'!E:E, C605))</f>
        <v/>
      </c>
      <c r="F605" s="2">
        <f t="shared" si="1"/>
        <v>0</v>
      </c>
      <c r="G605" s="1" t="str">
        <f>IF(A605 = "", "", COUNTIF('Game Record'!G:G, A605))</f>
        <v/>
      </c>
      <c r="H605" s="6" t="str">
        <f>IF(A605 = "", "", COUNTIF('Game Record'!H:H, A605))</f>
        <v/>
      </c>
      <c r="I605" s="2">
        <f>IFERROR(__xludf.DUMMYFUNCTION("SUM(FILTER(TeamARecordSet, INDEX(TeamARecordSet, 0, 1) = A605)) + SUM(FILTER(TeamBRecordSet, INDEX(TeamBRecordSet, 0, 1) = A605))"),0.0)</f>
        <v>0</v>
      </c>
      <c r="J605" s="2">
        <f t="shared" si="2"/>
        <v>0</v>
      </c>
      <c r="K605" s="2" t="str">
        <f t="shared" si="3"/>
        <v/>
      </c>
    </row>
    <row r="606">
      <c r="A606" s="2"/>
      <c r="B606" s="7"/>
      <c r="D606" s="5" t="str">
        <f>IF(A606 = "", "", COUNTIFS('Game Record'!G:G, A606, 'Game Record'!E:E, C606))</f>
        <v/>
      </c>
      <c r="E606" s="6" t="str">
        <f>IF(A606 = "", "", COUNTIFS('Game Record'!H:H, A606, 'Game Record'!E:E, C606))</f>
        <v/>
      </c>
      <c r="F606" s="2">
        <f t="shared" si="1"/>
        <v>0</v>
      </c>
      <c r="G606" s="1" t="str">
        <f>IF(A606 = "", "", COUNTIF('Game Record'!G:G, A606))</f>
        <v/>
      </c>
      <c r="H606" s="6" t="str">
        <f>IF(A606 = "", "", COUNTIF('Game Record'!H:H, A606))</f>
        <v/>
      </c>
      <c r="I606" s="2">
        <f>IFERROR(__xludf.DUMMYFUNCTION("SUM(FILTER(TeamARecordSet, INDEX(TeamARecordSet, 0, 1) = A606)) + SUM(FILTER(TeamBRecordSet, INDEX(TeamBRecordSet, 0, 1) = A606))"),0.0)</f>
        <v>0</v>
      </c>
      <c r="J606" s="2">
        <f t="shared" si="2"/>
        <v>0</v>
      </c>
      <c r="K606" s="2" t="str">
        <f t="shared" si="3"/>
        <v/>
      </c>
    </row>
    <row r="607">
      <c r="A607" s="2"/>
      <c r="B607" s="7"/>
      <c r="D607" s="5" t="str">
        <f>IF(A607 = "", "", COUNTIFS('Game Record'!G:G, A607, 'Game Record'!E:E, C607))</f>
        <v/>
      </c>
      <c r="E607" s="6" t="str">
        <f>IF(A607 = "", "", COUNTIFS('Game Record'!H:H, A607, 'Game Record'!E:E, C607))</f>
        <v/>
      </c>
      <c r="F607" s="2">
        <f t="shared" si="1"/>
        <v>0</v>
      </c>
      <c r="G607" s="1" t="str">
        <f>IF(A607 = "", "", COUNTIF('Game Record'!G:G, A607))</f>
        <v/>
      </c>
      <c r="H607" s="6" t="str">
        <f>IF(A607 = "", "", COUNTIF('Game Record'!H:H, A607))</f>
        <v/>
      </c>
      <c r="I607" s="2">
        <f>IFERROR(__xludf.DUMMYFUNCTION("SUM(FILTER(TeamARecordSet, INDEX(TeamARecordSet, 0, 1) = A607)) + SUM(FILTER(TeamBRecordSet, INDEX(TeamBRecordSet, 0, 1) = A607))"),0.0)</f>
        <v>0</v>
      </c>
      <c r="J607" s="2">
        <f t="shared" si="2"/>
        <v>0</v>
      </c>
      <c r="K607" s="2" t="str">
        <f t="shared" si="3"/>
        <v/>
      </c>
    </row>
    <row r="608">
      <c r="A608" s="2"/>
      <c r="B608" s="7"/>
      <c r="D608" s="5" t="str">
        <f>IF(A608 = "", "", COUNTIFS('Game Record'!G:G, A608, 'Game Record'!E:E, C608))</f>
        <v/>
      </c>
      <c r="E608" s="6" t="str">
        <f>IF(A608 = "", "", COUNTIFS('Game Record'!H:H, A608, 'Game Record'!E:E, C608))</f>
        <v/>
      </c>
      <c r="F608" s="2">
        <f t="shared" si="1"/>
        <v>0</v>
      </c>
      <c r="G608" s="1" t="str">
        <f>IF(A608 = "", "", COUNTIF('Game Record'!G:G, A608))</f>
        <v/>
      </c>
      <c r="H608" s="6" t="str">
        <f>IF(A608 = "", "", COUNTIF('Game Record'!H:H, A608))</f>
        <v/>
      </c>
      <c r="I608" s="2">
        <f>IFERROR(__xludf.DUMMYFUNCTION("SUM(FILTER(TeamARecordSet, INDEX(TeamARecordSet, 0, 1) = A608)) + SUM(FILTER(TeamBRecordSet, INDEX(TeamBRecordSet, 0, 1) = A608))"),0.0)</f>
        <v>0</v>
      </c>
      <c r="J608" s="2">
        <f t="shared" si="2"/>
        <v>0</v>
      </c>
      <c r="K608" s="2" t="str">
        <f t="shared" si="3"/>
        <v/>
      </c>
    </row>
    <row r="609">
      <c r="A609" s="2"/>
      <c r="B609" s="7"/>
      <c r="D609" s="5" t="str">
        <f>IF(A609 = "", "", COUNTIFS('Game Record'!G:G, A609, 'Game Record'!E:E, C609))</f>
        <v/>
      </c>
      <c r="E609" s="6" t="str">
        <f>IF(A609 = "", "", COUNTIFS('Game Record'!H:H, A609, 'Game Record'!E:E, C609))</f>
        <v/>
      </c>
      <c r="F609" s="2">
        <f t="shared" si="1"/>
        <v>0</v>
      </c>
      <c r="G609" s="1" t="str">
        <f>IF(A609 = "", "", COUNTIF('Game Record'!G:G, A609))</f>
        <v/>
      </c>
      <c r="H609" s="6" t="str">
        <f>IF(A609 = "", "", COUNTIF('Game Record'!H:H, A609))</f>
        <v/>
      </c>
      <c r="I609" s="2">
        <f>IFERROR(__xludf.DUMMYFUNCTION("SUM(FILTER(TeamARecordSet, INDEX(TeamARecordSet, 0, 1) = A609)) + SUM(FILTER(TeamBRecordSet, INDEX(TeamBRecordSet, 0, 1) = A609))"),0.0)</f>
        <v>0</v>
      </c>
      <c r="J609" s="2">
        <f t="shared" si="2"/>
        <v>0</v>
      </c>
      <c r="K609" s="2" t="str">
        <f t="shared" si="3"/>
        <v/>
      </c>
    </row>
    <row r="610">
      <c r="A610" s="2"/>
      <c r="B610" s="7"/>
      <c r="D610" s="5" t="str">
        <f>IF(A610 = "", "", COUNTIFS('Game Record'!G:G, A610, 'Game Record'!E:E, C610))</f>
        <v/>
      </c>
      <c r="E610" s="6" t="str">
        <f>IF(A610 = "", "", COUNTIFS('Game Record'!H:H, A610, 'Game Record'!E:E, C610))</f>
        <v/>
      </c>
      <c r="F610" s="2">
        <f t="shared" si="1"/>
        <v>0</v>
      </c>
      <c r="G610" s="1" t="str">
        <f>IF(A610 = "", "", COUNTIF('Game Record'!G:G, A610))</f>
        <v/>
      </c>
      <c r="H610" s="6" t="str">
        <f>IF(A610 = "", "", COUNTIF('Game Record'!H:H, A610))</f>
        <v/>
      </c>
      <c r="I610" s="2">
        <f>IFERROR(__xludf.DUMMYFUNCTION("SUM(FILTER(TeamARecordSet, INDEX(TeamARecordSet, 0, 1) = A610)) + SUM(FILTER(TeamBRecordSet, INDEX(TeamBRecordSet, 0, 1) = A610))"),0.0)</f>
        <v>0</v>
      </c>
      <c r="J610" s="2">
        <f t="shared" si="2"/>
        <v>0</v>
      </c>
      <c r="K610" s="2" t="str">
        <f t="shared" si="3"/>
        <v/>
      </c>
    </row>
    <row r="611">
      <c r="A611" s="2"/>
      <c r="B611" s="7"/>
      <c r="D611" s="5" t="str">
        <f>IF(A611 = "", "", COUNTIFS('Game Record'!G:G, A611, 'Game Record'!E:E, C611))</f>
        <v/>
      </c>
      <c r="E611" s="6" t="str">
        <f>IF(A611 = "", "", COUNTIFS('Game Record'!H:H, A611, 'Game Record'!E:E, C611))</f>
        <v/>
      </c>
      <c r="F611" s="2">
        <f t="shared" si="1"/>
        <v>0</v>
      </c>
      <c r="G611" s="1" t="str">
        <f>IF(A611 = "", "", COUNTIF('Game Record'!G:G, A611))</f>
        <v/>
      </c>
      <c r="H611" s="6" t="str">
        <f>IF(A611 = "", "", COUNTIF('Game Record'!H:H, A611))</f>
        <v/>
      </c>
      <c r="I611" s="2">
        <f>IFERROR(__xludf.DUMMYFUNCTION("SUM(FILTER(TeamARecordSet, INDEX(TeamARecordSet, 0, 1) = A611)) + SUM(FILTER(TeamBRecordSet, INDEX(TeamBRecordSet, 0, 1) = A611))"),0.0)</f>
        <v>0</v>
      </c>
      <c r="J611" s="2">
        <f t="shared" si="2"/>
        <v>0</v>
      </c>
      <c r="K611" s="2" t="str">
        <f t="shared" si="3"/>
        <v/>
      </c>
    </row>
    <row r="612">
      <c r="A612" s="2"/>
      <c r="B612" s="7"/>
      <c r="D612" s="5" t="str">
        <f>IF(A612 = "", "", COUNTIFS('Game Record'!G:G, A612, 'Game Record'!E:E, C612))</f>
        <v/>
      </c>
      <c r="E612" s="6" t="str">
        <f>IF(A612 = "", "", COUNTIFS('Game Record'!H:H, A612, 'Game Record'!E:E, C612))</f>
        <v/>
      </c>
      <c r="F612" s="2">
        <f t="shared" si="1"/>
        <v>0</v>
      </c>
      <c r="G612" s="1" t="str">
        <f>IF(A612 = "", "", COUNTIF('Game Record'!G:G, A612))</f>
        <v/>
      </c>
      <c r="H612" s="6" t="str">
        <f>IF(A612 = "", "", COUNTIF('Game Record'!H:H, A612))</f>
        <v/>
      </c>
      <c r="I612" s="2">
        <f>IFERROR(__xludf.DUMMYFUNCTION("SUM(FILTER(TeamARecordSet, INDEX(TeamARecordSet, 0, 1) = A612)) + SUM(FILTER(TeamBRecordSet, INDEX(TeamBRecordSet, 0, 1) = A612))"),0.0)</f>
        <v>0</v>
      </c>
      <c r="J612" s="2">
        <f t="shared" si="2"/>
        <v>0</v>
      </c>
      <c r="K612" s="2" t="str">
        <f t="shared" si="3"/>
        <v/>
      </c>
    </row>
    <row r="613">
      <c r="A613" s="2"/>
      <c r="B613" s="7"/>
      <c r="D613" s="5" t="str">
        <f>IF(A613 = "", "", COUNTIFS('Game Record'!G:G, A613, 'Game Record'!E:E, C613))</f>
        <v/>
      </c>
      <c r="E613" s="6" t="str">
        <f>IF(A613 = "", "", COUNTIFS('Game Record'!H:H, A613, 'Game Record'!E:E, C613))</f>
        <v/>
      </c>
      <c r="F613" s="2">
        <f t="shared" si="1"/>
        <v>0</v>
      </c>
      <c r="G613" s="1" t="str">
        <f>IF(A613 = "", "", COUNTIF('Game Record'!G:G, A613))</f>
        <v/>
      </c>
      <c r="H613" s="6" t="str">
        <f>IF(A613 = "", "", COUNTIF('Game Record'!H:H, A613))</f>
        <v/>
      </c>
      <c r="I613" s="2">
        <f>IFERROR(__xludf.DUMMYFUNCTION("SUM(FILTER(TeamARecordSet, INDEX(TeamARecordSet, 0, 1) = A613)) + SUM(FILTER(TeamBRecordSet, INDEX(TeamBRecordSet, 0, 1) = A613))"),0.0)</f>
        <v>0</v>
      </c>
      <c r="J613" s="2">
        <f t="shared" si="2"/>
        <v>0</v>
      </c>
      <c r="K613" s="2" t="str">
        <f t="shared" si="3"/>
        <v/>
      </c>
    </row>
    <row r="614">
      <c r="A614" s="2"/>
      <c r="B614" s="7"/>
      <c r="D614" s="5" t="str">
        <f>IF(A614 = "", "", COUNTIFS('Game Record'!G:G, A614, 'Game Record'!E:E, C614))</f>
        <v/>
      </c>
      <c r="E614" s="6" t="str">
        <f>IF(A614 = "", "", COUNTIFS('Game Record'!H:H, A614, 'Game Record'!E:E, C614))</f>
        <v/>
      </c>
      <c r="F614" s="2">
        <f t="shared" si="1"/>
        <v>0</v>
      </c>
      <c r="G614" s="1" t="str">
        <f>IF(A614 = "", "", COUNTIF('Game Record'!G:G, A614))</f>
        <v/>
      </c>
      <c r="H614" s="6" t="str">
        <f>IF(A614 = "", "", COUNTIF('Game Record'!H:H, A614))</f>
        <v/>
      </c>
      <c r="I614" s="2">
        <f>IFERROR(__xludf.DUMMYFUNCTION("SUM(FILTER(TeamARecordSet, INDEX(TeamARecordSet, 0, 1) = A614)) + SUM(FILTER(TeamBRecordSet, INDEX(TeamBRecordSet, 0, 1) = A614))"),0.0)</f>
        <v>0</v>
      </c>
      <c r="J614" s="2">
        <f t="shared" si="2"/>
        <v>0</v>
      </c>
      <c r="K614" s="2" t="str">
        <f t="shared" si="3"/>
        <v/>
      </c>
    </row>
    <row r="615">
      <c r="A615" s="2"/>
      <c r="B615" s="7"/>
      <c r="D615" s="5" t="str">
        <f>IF(A615 = "", "", COUNTIFS('Game Record'!G:G, A615, 'Game Record'!E:E, C615))</f>
        <v/>
      </c>
      <c r="E615" s="6" t="str">
        <f>IF(A615 = "", "", COUNTIFS('Game Record'!H:H, A615, 'Game Record'!E:E, C615))</f>
        <v/>
      </c>
      <c r="F615" s="2">
        <f t="shared" si="1"/>
        <v>0</v>
      </c>
      <c r="G615" s="1" t="str">
        <f>IF(A615 = "", "", COUNTIF('Game Record'!G:G, A615))</f>
        <v/>
      </c>
      <c r="H615" s="6" t="str">
        <f>IF(A615 = "", "", COUNTIF('Game Record'!H:H, A615))</f>
        <v/>
      </c>
      <c r="I615" s="2">
        <f>IFERROR(__xludf.DUMMYFUNCTION("SUM(FILTER(TeamARecordSet, INDEX(TeamARecordSet, 0, 1) = A615)) + SUM(FILTER(TeamBRecordSet, INDEX(TeamBRecordSet, 0, 1) = A615))"),0.0)</f>
        <v>0</v>
      </c>
      <c r="J615" s="2">
        <f t="shared" si="2"/>
        <v>0</v>
      </c>
      <c r="K615" s="2" t="str">
        <f t="shared" si="3"/>
        <v/>
      </c>
    </row>
    <row r="616">
      <c r="A616" s="2"/>
      <c r="B616" s="7"/>
      <c r="D616" s="5" t="str">
        <f>IF(A616 = "", "", COUNTIFS('Game Record'!G:G, A616, 'Game Record'!E:E, C616))</f>
        <v/>
      </c>
      <c r="E616" s="6" t="str">
        <f>IF(A616 = "", "", COUNTIFS('Game Record'!H:H, A616, 'Game Record'!E:E, C616))</f>
        <v/>
      </c>
      <c r="F616" s="2">
        <f t="shared" si="1"/>
        <v>0</v>
      </c>
      <c r="G616" s="1" t="str">
        <f>IF(A616 = "", "", COUNTIF('Game Record'!G:G, A616))</f>
        <v/>
      </c>
      <c r="H616" s="6" t="str">
        <f>IF(A616 = "", "", COUNTIF('Game Record'!H:H, A616))</f>
        <v/>
      </c>
      <c r="I616" s="2">
        <f>IFERROR(__xludf.DUMMYFUNCTION("SUM(FILTER(TeamARecordSet, INDEX(TeamARecordSet, 0, 1) = A616)) + SUM(FILTER(TeamBRecordSet, INDEX(TeamBRecordSet, 0, 1) = A616))"),0.0)</f>
        <v>0</v>
      </c>
      <c r="J616" s="2">
        <f t="shared" si="2"/>
        <v>0</v>
      </c>
      <c r="K616" s="2" t="str">
        <f t="shared" si="3"/>
        <v/>
      </c>
    </row>
    <row r="617">
      <c r="A617" s="2"/>
      <c r="B617" s="7"/>
      <c r="D617" s="5" t="str">
        <f>IF(A617 = "", "", COUNTIFS('Game Record'!G:G, A617, 'Game Record'!E:E, C617))</f>
        <v/>
      </c>
      <c r="E617" s="6" t="str">
        <f>IF(A617 = "", "", COUNTIFS('Game Record'!H:H, A617, 'Game Record'!E:E, C617))</f>
        <v/>
      </c>
      <c r="F617" s="2">
        <f t="shared" si="1"/>
        <v>0</v>
      </c>
      <c r="G617" s="1" t="str">
        <f>IF(A617 = "", "", COUNTIF('Game Record'!G:G, A617))</f>
        <v/>
      </c>
      <c r="H617" s="6" t="str">
        <f>IF(A617 = "", "", COUNTIF('Game Record'!H:H, A617))</f>
        <v/>
      </c>
      <c r="I617" s="2">
        <f>IFERROR(__xludf.DUMMYFUNCTION("SUM(FILTER(TeamARecordSet, INDEX(TeamARecordSet, 0, 1) = A617)) + SUM(FILTER(TeamBRecordSet, INDEX(TeamBRecordSet, 0, 1) = A617))"),0.0)</f>
        <v>0</v>
      </c>
      <c r="J617" s="2">
        <f t="shared" si="2"/>
        <v>0</v>
      </c>
      <c r="K617" s="2" t="str">
        <f t="shared" si="3"/>
        <v/>
      </c>
    </row>
    <row r="618">
      <c r="A618" s="2"/>
      <c r="B618" s="7"/>
      <c r="D618" s="5" t="str">
        <f>IF(A618 = "", "", COUNTIFS('Game Record'!G:G, A618, 'Game Record'!E:E, C618))</f>
        <v/>
      </c>
      <c r="E618" s="6" t="str">
        <f>IF(A618 = "", "", COUNTIFS('Game Record'!H:H, A618, 'Game Record'!E:E, C618))</f>
        <v/>
      </c>
      <c r="F618" s="2">
        <f t="shared" si="1"/>
        <v>0</v>
      </c>
      <c r="G618" s="1" t="str">
        <f>IF(A618 = "", "", COUNTIF('Game Record'!G:G, A618))</f>
        <v/>
      </c>
      <c r="H618" s="6" t="str">
        <f>IF(A618 = "", "", COUNTIF('Game Record'!H:H, A618))</f>
        <v/>
      </c>
      <c r="I618" s="2">
        <f>IFERROR(__xludf.DUMMYFUNCTION("SUM(FILTER(TeamARecordSet, INDEX(TeamARecordSet, 0, 1) = A618)) + SUM(FILTER(TeamBRecordSet, INDEX(TeamBRecordSet, 0, 1) = A618))"),0.0)</f>
        <v>0</v>
      </c>
      <c r="J618" s="2">
        <f t="shared" si="2"/>
        <v>0</v>
      </c>
      <c r="K618" s="2" t="str">
        <f t="shared" si="3"/>
        <v/>
      </c>
    </row>
    <row r="619">
      <c r="A619" s="2"/>
      <c r="B619" s="7"/>
      <c r="D619" s="5" t="str">
        <f>IF(A619 = "", "", COUNTIFS('Game Record'!G:G, A619, 'Game Record'!E:E, C619))</f>
        <v/>
      </c>
      <c r="E619" s="6" t="str">
        <f>IF(A619 = "", "", COUNTIFS('Game Record'!H:H, A619, 'Game Record'!E:E, C619))</f>
        <v/>
      </c>
      <c r="F619" s="2">
        <f t="shared" si="1"/>
        <v>0</v>
      </c>
      <c r="G619" s="1" t="str">
        <f>IF(A619 = "", "", COUNTIF('Game Record'!G:G, A619))</f>
        <v/>
      </c>
      <c r="H619" s="6" t="str">
        <f>IF(A619 = "", "", COUNTIF('Game Record'!H:H, A619))</f>
        <v/>
      </c>
      <c r="I619" s="2">
        <f>IFERROR(__xludf.DUMMYFUNCTION("SUM(FILTER(TeamARecordSet, INDEX(TeamARecordSet, 0, 1) = A619)) + SUM(FILTER(TeamBRecordSet, INDEX(TeamBRecordSet, 0, 1) = A619))"),0.0)</f>
        <v>0</v>
      </c>
      <c r="J619" s="2">
        <f t="shared" si="2"/>
        <v>0</v>
      </c>
      <c r="K619" s="2" t="str">
        <f t="shared" si="3"/>
        <v/>
      </c>
    </row>
    <row r="620">
      <c r="A620" s="2"/>
      <c r="B620" s="7"/>
      <c r="D620" s="5" t="str">
        <f>IF(A620 = "", "", COUNTIFS('Game Record'!G:G, A620, 'Game Record'!E:E, C620))</f>
        <v/>
      </c>
      <c r="E620" s="6" t="str">
        <f>IF(A620 = "", "", COUNTIFS('Game Record'!H:H, A620, 'Game Record'!E:E, C620))</f>
        <v/>
      </c>
      <c r="F620" s="2">
        <f t="shared" si="1"/>
        <v>0</v>
      </c>
      <c r="G620" s="1" t="str">
        <f>IF(A620 = "", "", COUNTIF('Game Record'!G:G, A620))</f>
        <v/>
      </c>
      <c r="H620" s="6" t="str">
        <f>IF(A620 = "", "", COUNTIF('Game Record'!H:H, A620))</f>
        <v/>
      </c>
      <c r="I620" s="2">
        <f>IFERROR(__xludf.DUMMYFUNCTION("SUM(FILTER(TeamARecordSet, INDEX(TeamARecordSet, 0, 1) = A620)) + SUM(FILTER(TeamBRecordSet, INDEX(TeamBRecordSet, 0, 1) = A620))"),0.0)</f>
        <v>0</v>
      </c>
      <c r="J620" s="2">
        <f t="shared" si="2"/>
        <v>0</v>
      </c>
      <c r="K620" s="2" t="str">
        <f t="shared" si="3"/>
        <v/>
      </c>
    </row>
    <row r="621">
      <c r="A621" s="2"/>
      <c r="B621" s="7"/>
      <c r="D621" s="5" t="str">
        <f>IF(A621 = "", "", COUNTIFS('Game Record'!G:G, A621, 'Game Record'!E:E, C621))</f>
        <v/>
      </c>
      <c r="E621" s="6" t="str">
        <f>IF(A621 = "", "", COUNTIFS('Game Record'!H:H, A621, 'Game Record'!E:E, C621))</f>
        <v/>
      </c>
      <c r="F621" s="2">
        <f t="shared" si="1"/>
        <v>0</v>
      </c>
      <c r="G621" s="1" t="str">
        <f>IF(A621 = "", "", COUNTIF('Game Record'!G:G, A621))</f>
        <v/>
      </c>
      <c r="H621" s="6" t="str">
        <f>IF(A621 = "", "", COUNTIF('Game Record'!H:H, A621))</f>
        <v/>
      </c>
      <c r="I621" s="2">
        <f>IFERROR(__xludf.DUMMYFUNCTION("SUM(FILTER(TeamARecordSet, INDEX(TeamARecordSet, 0, 1) = A621)) + SUM(FILTER(TeamBRecordSet, INDEX(TeamBRecordSet, 0, 1) = A621))"),0.0)</f>
        <v>0</v>
      </c>
      <c r="J621" s="2">
        <f t="shared" si="2"/>
        <v>0</v>
      </c>
      <c r="K621" s="2" t="str">
        <f t="shared" si="3"/>
        <v/>
      </c>
    </row>
    <row r="622">
      <c r="A622" s="2"/>
      <c r="B622" s="7"/>
      <c r="D622" s="5" t="str">
        <f>IF(A622 = "", "", COUNTIFS('Game Record'!G:G, A622, 'Game Record'!E:E, C622))</f>
        <v/>
      </c>
      <c r="E622" s="6" t="str">
        <f>IF(A622 = "", "", COUNTIFS('Game Record'!H:H, A622, 'Game Record'!E:E, C622))</f>
        <v/>
      </c>
      <c r="F622" s="2">
        <f t="shared" si="1"/>
        <v>0</v>
      </c>
      <c r="G622" s="1" t="str">
        <f>IF(A622 = "", "", COUNTIF('Game Record'!G:G, A622))</f>
        <v/>
      </c>
      <c r="H622" s="6" t="str">
        <f>IF(A622 = "", "", COUNTIF('Game Record'!H:H, A622))</f>
        <v/>
      </c>
      <c r="I622" s="2">
        <f>IFERROR(__xludf.DUMMYFUNCTION("SUM(FILTER(TeamARecordSet, INDEX(TeamARecordSet, 0, 1) = A622)) + SUM(FILTER(TeamBRecordSet, INDEX(TeamBRecordSet, 0, 1) = A622))"),0.0)</f>
        <v>0</v>
      </c>
      <c r="J622" s="2">
        <f t="shared" si="2"/>
        <v>0</v>
      </c>
      <c r="K622" s="2" t="str">
        <f t="shared" si="3"/>
        <v/>
      </c>
    </row>
    <row r="623">
      <c r="A623" s="2"/>
      <c r="B623" s="7"/>
      <c r="D623" s="5" t="str">
        <f>IF(A623 = "", "", COUNTIFS('Game Record'!G:G, A623, 'Game Record'!E:E, C623))</f>
        <v/>
      </c>
      <c r="E623" s="6" t="str">
        <f>IF(A623 = "", "", COUNTIFS('Game Record'!H:H, A623, 'Game Record'!E:E, C623))</f>
        <v/>
      </c>
      <c r="F623" s="2">
        <f t="shared" si="1"/>
        <v>0</v>
      </c>
      <c r="G623" s="1" t="str">
        <f>IF(A623 = "", "", COUNTIF('Game Record'!G:G, A623))</f>
        <v/>
      </c>
      <c r="H623" s="6" t="str">
        <f>IF(A623 = "", "", COUNTIF('Game Record'!H:H, A623))</f>
        <v/>
      </c>
      <c r="I623" s="2">
        <f>IFERROR(__xludf.DUMMYFUNCTION("SUM(FILTER(TeamARecordSet, INDEX(TeamARecordSet, 0, 1) = A623)) + SUM(FILTER(TeamBRecordSet, INDEX(TeamBRecordSet, 0, 1) = A623))"),0.0)</f>
        <v>0</v>
      </c>
      <c r="J623" s="2">
        <f t="shared" si="2"/>
        <v>0</v>
      </c>
      <c r="K623" s="2" t="str">
        <f t="shared" si="3"/>
        <v/>
      </c>
    </row>
    <row r="624">
      <c r="A624" s="2"/>
      <c r="B624" s="7"/>
      <c r="D624" s="5" t="str">
        <f>IF(A624 = "", "", COUNTIFS('Game Record'!G:G, A624, 'Game Record'!E:E, C624))</f>
        <v/>
      </c>
      <c r="E624" s="6" t="str">
        <f>IF(A624 = "", "", COUNTIFS('Game Record'!H:H, A624, 'Game Record'!E:E, C624))</f>
        <v/>
      </c>
      <c r="F624" s="2">
        <f t="shared" si="1"/>
        <v>0</v>
      </c>
      <c r="G624" s="1" t="str">
        <f>IF(A624 = "", "", COUNTIF('Game Record'!G:G, A624))</f>
        <v/>
      </c>
      <c r="H624" s="6" t="str">
        <f>IF(A624 = "", "", COUNTIF('Game Record'!H:H, A624))</f>
        <v/>
      </c>
      <c r="I624" s="2">
        <f>IFERROR(__xludf.DUMMYFUNCTION("SUM(FILTER(TeamARecordSet, INDEX(TeamARecordSet, 0, 1) = A624)) + SUM(FILTER(TeamBRecordSet, INDEX(TeamBRecordSet, 0, 1) = A624))"),0.0)</f>
        <v>0</v>
      </c>
      <c r="J624" s="2">
        <f t="shared" si="2"/>
        <v>0</v>
      </c>
      <c r="K624" s="2" t="str">
        <f t="shared" si="3"/>
        <v/>
      </c>
    </row>
    <row r="625">
      <c r="A625" s="2"/>
      <c r="B625" s="7"/>
      <c r="D625" s="5" t="str">
        <f>IF(A625 = "", "", COUNTIFS('Game Record'!G:G, A625, 'Game Record'!E:E, C625))</f>
        <v/>
      </c>
      <c r="E625" s="6" t="str">
        <f>IF(A625 = "", "", COUNTIFS('Game Record'!H:H, A625, 'Game Record'!E:E, C625))</f>
        <v/>
      </c>
      <c r="F625" s="2">
        <f t="shared" si="1"/>
        <v>0</v>
      </c>
      <c r="G625" s="1" t="str">
        <f>IF(A625 = "", "", COUNTIF('Game Record'!G:G, A625))</f>
        <v/>
      </c>
      <c r="H625" s="6" t="str">
        <f>IF(A625 = "", "", COUNTIF('Game Record'!H:H, A625))</f>
        <v/>
      </c>
      <c r="I625" s="2">
        <f>IFERROR(__xludf.DUMMYFUNCTION("SUM(FILTER(TeamARecordSet, INDEX(TeamARecordSet, 0, 1) = A625)) + SUM(FILTER(TeamBRecordSet, INDEX(TeamBRecordSet, 0, 1) = A625))"),0.0)</f>
        <v>0</v>
      </c>
      <c r="J625" s="2">
        <f t="shared" si="2"/>
        <v>0</v>
      </c>
      <c r="K625" s="2" t="str">
        <f t="shared" si="3"/>
        <v/>
      </c>
    </row>
    <row r="626">
      <c r="A626" s="2"/>
      <c r="B626" s="7"/>
      <c r="D626" s="5" t="str">
        <f>IF(A626 = "", "", COUNTIFS('Game Record'!G:G, A626, 'Game Record'!E:E, C626))</f>
        <v/>
      </c>
      <c r="E626" s="6" t="str">
        <f>IF(A626 = "", "", COUNTIFS('Game Record'!H:H, A626, 'Game Record'!E:E, C626))</f>
        <v/>
      </c>
      <c r="F626" s="2">
        <f t="shared" si="1"/>
        <v>0</v>
      </c>
      <c r="G626" s="1" t="str">
        <f>IF(A626 = "", "", COUNTIF('Game Record'!G:G, A626))</f>
        <v/>
      </c>
      <c r="H626" s="6" t="str">
        <f>IF(A626 = "", "", COUNTIF('Game Record'!H:H, A626))</f>
        <v/>
      </c>
      <c r="I626" s="2">
        <f>IFERROR(__xludf.DUMMYFUNCTION("SUM(FILTER(TeamARecordSet, INDEX(TeamARecordSet, 0, 1) = A626)) + SUM(FILTER(TeamBRecordSet, INDEX(TeamBRecordSet, 0, 1) = A626))"),0.0)</f>
        <v>0</v>
      </c>
      <c r="J626" s="2">
        <f t="shared" si="2"/>
        <v>0</v>
      </c>
      <c r="K626" s="2" t="str">
        <f t="shared" si="3"/>
        <v/>
      </c>
    </row>
    <row r="627">
      <c r="A627" s="2"/>
      <c r="B627" s="7"/>
      <c r="D627" s="5" t="str">
        <f>IF(A627 = "", "", COUNTIFS('Game Record'!G:G, A627, 'Game Record'!E:E, C627))</f>
        <v/>
      </c>
      <c r="E627" s="6" t="str">
        <f>IF(A627 = "", "", COUNTIFS('Game Record'!H:H, A627, 'Game Record'!E:E, C627))</f>
        <v/>
      </c>
      <c r="F627" s="2">
        <f t="shared" si="1"/>
        <v>0</v>
      </c>
      <c r="G627" s="1" t="str">
        <f>IF(A627 = "", "", COUNTIF('Game Record'!G:G, A627))</f>
        <v/>
      </c>
      <c r="H627" s="6" t="str">
        <f>IF(A627 = "", "", COUNTIF('Game Record'!H:H, A627))</f>
        <v/>
      </c>
      <c r="I627" s="2">
        <f>IFERROR(__xludf.DUMMYFUNCTION("SUM(FILTER(TeamARecordSet, INDEX(TeamARecordSet, 0, 1) = A627)) + SUM(FILTER(TeamBRecordSet, INDEX(TeamBRecordSet, 0, 1) = A627))"),0.0)</f>
        <v>0</v>
      </c>
      <c r="J627" s="2">
        <f t="shared" si="2"/>
        <v>0</v>
      </c>
      <c r="K627" s="2" t="str">
        <f t="shared" si="3"/>
        <v/>
      </c>
    </row>
    <row r="628">
      <c r="A628" s="2"/>
      <c r="B628" s="7"/>
      <c r="D628" s="5" t="str">
        <f>IF(A628 = "", "", COUNTIFS('Game Record'!G:G, A628, 'Game Record'!E:E, C628))</f>
        <v/>
      </c>
      <c r="E628" s="6" t="str">
        <f>IF(A628 = "", "", COUNTIFS('Game Record'!H:H, A628, 'Game Record'!E:E, C628))</f>
        <v/>
      </c>
      <c r="F628" s="2">
        <f t="shared" si="1"/>
        <v>0</v>
      </c>
      <c r="G628" s="1" t="str">
        <f>IF(A628 = "", "", COUNTIF('Game Record'!G:G, A628))</f>
        <v/>
      </c>
      <c r="H628" s="6" t="str">
        <f>IF(A628 = "", "", COUNTIF('Game Record'!H:H, A628))</f>
        <v/>
      </c>
      <c r="I628" s="2">
        <f>IFERROR(__xludf.DUMMYFUNCTION("SUM(FILTER(TeamARecordSet, INDEX(TeamARecordSet, 0, 1) = A628)) + SUM(FILTER(TeamBRecordSet, INDEX(TeamBRecordSet, 0, 1) = A628))"),0.0)</f>
        <v>0</v>
      </c>
      <c r="J628" s="2">
        <f t="shared" si="2"/>
        <v>0</v>
      </c>
      <c r="K628" s="2" t="str">
        <f t="shared" si="3"/>
        <v/>
      </c>
    </row>
    <row r="629">
      <c r="A629" s="2"/>
      <c r="B629" s="7"/>
      <c r="D629" s="5" t="str">
        <f>IF(A629 = "", "", COUNTIFS('Game Record'!G:G, A629, 'Game Record'!E:E, C629))</f>
        <v/>
      </c>
      <c r="E629" s="6" t="str">
        <f>IF(A629 = "", "", COUNTIFS('Game Record'!H:H, A629, 'Game Record'!E:E, C629))</f>
        <v/>
      </c>
      <c r="F629" s="2">
        <f t="shared" si="1"/>
        <v>0</v>
      </c>
      <c r="G629" s="1" t="str">
        <f>IF(A629 = "", "", COUNTIF('Game Record'!G:G, A629))</f>
        <v/>
      </c>
      <c r="H629" s="6" t="str">
        <f>IF(A629 = "", "", COUNTIF('Game Record'!H:H, A629))</f>
        <v/>
      </c>
      <c r="I629" s="2">
        <f>IFERROR(__xludf.DUMMYFUNCTION("SUM(FILTER(TeamARecordSet, INDEX(TeamARecordSet, 0, 1) = A629)) + SUM(FILTER(TeamBRecordSet, INDEX(TeamBRecordSet, 0, 1) = A629))"),0.0)</f>
        <v>0</v>
      </c>
      <c r="J629" s="2">
        <f t="shared" si="2"/>
        <v>0</v>
      </c>
      <c r="K629" s="2" t="str">
        <f t="shared" si="3"/>
        <v/>
      </c>
    </row>
    <row r="630">
      <c r="A630" s="2"/>
      <c r="B630" s="7"/>
      <c r="D630" s="5" t="str">
        <f>IF(A630 = "", "", COUNTIFS('Game Record'!G:G, A630, 'Game Record'!E:E, C630))</f>
        <v/>
      </c>
      <c r="E630" s="6" t="str">
        <f>IF(A630 = "", "", COUNTIFS('Game Record'!H:H, A630, 'Game Record'!E:E, C630))</f>
        <v/>
      </c>
      <c r="F630" s="2">
        <f t="shared" si="1"/>
        <v>0</v>
      </c>
      <c r="G630" s="1" t="str">
        <f>IF(A630 = "", "", COUNTIF('Game Record'!G:G, A630))</f>
        <v/>
      </c>
      <c r="H630" s="6" t="str">
        <f>IF(A630 = "", "", COUNTIF('Game Record'!H:H, A630))</f>
        <v/>
      </c>
      <c r="I630" s="2">
        <f>IFERROR(__xludf.DUMMYFUNCTION("SUM(FILTER(TeamARecordSet, INDEX(TeamARecordSet, 0, 1) = A630)) + SUM(FILTER(TeamBRecordSet, INDEX(TeamBRecordSet, 0, 1) = A630))"),0.0)</f>
        <v>0</v>
      </c>
      <c r="J630" s="2">
        <f t="shared" si="2"/>
        <v>0</v>
      </c>
      <c r="K630" s="2" t="str">
        <f t="shared" si="3"/>
        <v/>
      </c>
    </row>
    <row r="631">
      <c r="A631" s="2"/>
      <c r="B631" s="7"/>
      <c r="D631" s="5" t="str">
        <f>IF(A631 = "", "", COUNTIFS('Game Record'!G:G, A631, 'Game Record'!E:E, C631))</f>
        <v/>
      </c>
      <c r="E631" s="6" t="str">
        <f>IF(A631 = "", "", COUNTIFS('Game Record'!H:H, A631, 'Game Record'!E:E, C631))</f>
        <v/>
      </c>
      <c r="F631" s="2">
        <f t="shared" si="1"/>
        <v>0</v>
      </c>
      <c r="G631" s="1" t="str">
        <f>IF(A631 = "", "", COUNTIF('Game Record'!G:G, A631))</f>
        <v/>
      </c>
      <c r="H631" s="6" t="str">
        <f>IF(A631 = "", "", COUNTIF('Game Record'!H:H, A631))</f>
        <v/>
      </c>
      <c r="I631" s="2">
        <f>IFERROR(__xludf.DUMMYFUNCTION("SUM(FILTER(TeamARecordSet, INDEX(TeamARecordSet, 0, 1) = A631)) + SUM(FILTER(TeamBRecordSet, INDEX(TeamBRecordSet, 0, 1) = A631))"),0.0)</f>
        <v>0</v>
      </c>
      <c r="J631" s="2">
        <f t="shared" si="2"/>
        <v>0</v>
      </c>
      <c r="K631" s="2" t="str">
        <f t="shared" si="3"/>
        <v/>
      </c>
    </row>
    <row r="632">
      <c r="A632" s="2"/>
      <c r="B632" s="7"/>
      <c r="D632" s="5" t="str">
        <f>IF(A632 = "", "", COUNTIFS('Game Record'!G:G, A632, 'Game Record'!E:E, C632))</f>
        <v/>
      </c>
      <c r="E632" s="6" t="str">
        <f>IF(A632 = "", "", COUNTIFS('Game Record'!H:H, A632, 'Game Record'!E:E, C632))</f>
        <v/>
      </c>
      <c r="F632" s="2">
        <f t="shared" si="1"/>
        <v>0</v>
      </c>
      <c r="G632" s="1" t="str">
        <f>IF(A632 = "", "", COUNTIF('Game Record'!G:G, A632))</f>
        <v/>
      </c>
      <c r="H632" s="6" t="str">
        <f>IF(A632 = "", "", COUNTIF('Game Record'!H:H, A632))</f>
        <v/>
      </c>
      <c r="I632" s="2">
        <f>IFERROR(__xludf.DUMMYFUNCTION("SUM(FILTER(TeamARecordSet, INDEX(TeamARecordSet, 0, 1) = A632)) + SUM(FILTER(TeamBRecordSet, INDEX(TeamBRecordSet, 0, 1) = A632))"),0.0)</f>
        <v>0</v>
      </c>
      <c r="J632" s="2">
        <f t="shared" si="2"/>
        <v>0</v>
      </c>
      <c r="K632" s="2" t="str">
        <f t="shared" si="3"/>
        <v/>
      </c>
    </row>
    <row r="633">
      <c r="A633" s="2"/>
      <c r="B633" s="7"/>
      <c r="D633" s="5" t="str">
        <f>IF(A633 = "", "", COUNTIFS('Game Record'!G:G, A633, 'Game Record'!E:E, C633))</f>
        <v/>
      </c>
      <c r="E633" s="6" t="str">
        <f>IF(A633 = "", "", COUNTIFS('Game Record'!H:H, A633, 'Game Record'!E:E, C633))</f>
        <v/>
      </c>
      <c r="F633" s="2">
        <f t="shared" si="1"/>
        <v>0</v>
      </c>
      <c r="G633" s="1" t="str">
        <f>IF(A633 = "", "", COUNTIF('Game Record'!G:G, A633))</f>
        <v/>
      </c>
      <c r="H633" s="6" t="str">
        <f>IF(A633 = "", "", COUNTIF('Game Record'!H:H, A633))</f>
        <v/>
      </c>
      <c r="I633" s="2">
        <f>IFERROR(__xludf.DUMMYFUNCTION("SUM(FILTER(TeamARecordSet, INDEX(TeamARecordSet, 0, 1) = A633)) + SUM(FILTER(TeamBRecordSet, INDEX(TeamBRecordSet, 0, 1) = A633))"),0.0)</f>
        <v>0</v>
      </c>
      <c r="J633" s="2">
        <f t="shared" si="2"/>
        <v>0</v>
      </c>
      <c r="K633" s="2" t="str">
        <f t="shared" si="3"/>
        <v/>
      </c>
    </row>
    <row r="634">
      <c r="A634" s="2"/>
      <c r="B634" s="7"/>
      <c r="D634" s="5" t="str">
        <f>IF(A634 = "", "", COUNTIFS('Game Record'!G:G, A634, 'Game Record'!E:E, C634))</f>
        <v/>
      </c>
      <c r="E634" s="6" t="str">
        <f>IF(A634 = "", "", COUNTIFS('Game Record'!H:H, A634, 'Game Record'!E:E, C634))</f>
        <v/>
      </c>
      <c r="F634" s="2">
        <f t="shared" si="1"/>
        <v>0</v>
      </c>
      <c r="G634" s="1" t="str">
        <f>IF(A634 = "", "", COUNTIF('Game Record'!G:G, A634))</f>
        <v/>
      </c>
      <c r="H634" s="6" t="str">
        <f>IF(A634 = "", "", COUNTIF('Game Record'!H:H, A634))</f>
        <v/>
      </c>
      <c r="I634" s="2">
        <f>IFERROR(__xludf.DUMMYFUNCTION("SUM(FILTER(TeamARecordSet, INDEX(TeamARecordSet, 0, 1) = A634)) + SUM(FILTER(TeamBRecordSet, INDEX(TeamBRecordSet, 0, 1) = A634))"),0.0)</f>
        <v>0</v>
      </c>
      <c r="J634" s="2">
        <f t="shared" si="2"/>
        <v>0</v>
      </c>
      <c r="K634" s="2" t="str">
        <f t="shared" si="3"/>
        <v/>
      </c>
    </row>
    <row r="635">
      <c r="A635" s="2"/>
      <c r="B635" s="7"/>
      <c r="D635" s="5" t="str">
        <f>IF(A635 = "", "", COUNTIFS('Game Record'!G:G, A635, 'Game Record'!E:E, C635))</f>
        <v/>
      </c>
      <c r="E635" s="6" t="str">
        <f>IF(A635 = "", "", COUNTIFS('Game Record'!H:H, A635, 'Game Record'!E:E, C635))</f>
        <v/>
      </c>
      <c r="F635" s="2">
        <f t="shared" si="1"/>
        <v>0</v>
      </c>
      <c r="G635" s="1" t="str">
        <f>IF(A635 = "", "", COUNTIF('Game Record'!G:G, A635))</f>
        <v/>
      </c>
      <c r="H635" s="6" t="str">
        <f>IF(A635 = "", "", COUNTIF('Game Record'!H:H, A635))</f>
        <v/>
      </c>
      <c r="I635" s="2">
        <f>IFERROR(__xludf.DUMMYFUNCTION("SUM(FILTER(TeamARecordSet, INDEX(TeamARecordSet, 0, 1) = A635)) + SUM(FILTER(TeamBRecordSet, INDEX(TeamBRecordSet, 0, 1) = A635))"),0.0)</f>
        <v>0</v>
      </c>
      <c r="J635" s="2">
        <f t="shared" si="2"/>
        <v>0</v>
      </c>
      <c r="K635" s="2" t="str">
        <f t="shared" si="3"/>
        <v/>
      </c>
    </row>
    <row r="636">
      <c r="A636" s="2"/>
      <c r="B636" s="7"/>
      <c r="D636" s="5" t="str">
        <f>IF(A636 = "", "", COUNTIFS('Game Record'!G:G, A636, 'Game Record'!E:E, C636))</f>
        <v/>
      </c>
      <c r="E636" s="6" t="str">
        <f>IF(A636 = "", "", COUNTIFS('Game Record'!H:H, A636, 'Game Record'!E:E, C636))</f>
        <v/>
      </c>
      <c r="F636" s="2">
        <f t="shared" si="1"/>
        <v>0</v>
      </c>
      <c r="G636" s="1" t="str">
        <f>IF(A636 = "", "", COUNTIF('Game Record'!G:G, A636))</f>
        <v/>
      </c>
      <c r="H636" s="6" t="str">
        <f>IF(A636 = "", "", COUNTIF('Game Record'!H:H, A636))</f>
        <v/>
      </c>
      <c r="I636" s="2">
        <f>IFERROR(__xludf.DUMMYFUNCTION("SUM(FILTER(TeamARecordSet, INDEX(TeamARecordSet, 0, 1) = A636)) + SUM(FILTER(TeamBRecordSet, INDEX(TeamBRecordSet, 0, 1) = A636))"),0.0)</f>
        <v>0</v>
      </c>
      <c r="J636" s="2">
        <f t="shared" si="2"/>
        <v>0</v>
      </c>
      <c r="K636" s="2" t="str">
        <f t="shared" si="3"/>
        <v/>
      </c>
    </row>
    <row r="637">
      <c r="A637" s="2"/>
      <c r="B637" s="7"/>
      <c r="D637" s="5" t="str">
        <f>IF(A637 = "", "", COUNTIFS('Game Record'!G:G, A637, 'Game Record'!E:E, C637))</f>
        <v/>
      </c>
      <c r="E637" s="6" t="str">
        <f>IF(A637 = "", "", COUNTIFS('Game Record'!H:H, A637, 'Game Record'!E:E, C637))</f>
        <v/>
      </c>
      <c r="F637" s="2">
        <f t="shared" si="1"/>
        <v>0</v>
      </c>
      <c r="G637" s="1" t="str">
        <f>IF(A637 = "", "", COUNTIF('Game Record'!G:G, A637))</f>
        <v/>
      </c>
      <c r="H637" s="6" t="str">
        <f>IF(A637 = "", "", COUNTIF('Game Record'!H:H, A637))</f>
        <v/>
      </c>
      <c r="I637" s="2">
        <f>IFERROR(__xludf.DUMMYFUNCTION("SUM(FILTER(TeamARecordSet, INDEX(TeamARecordSet, 0, 1) = A637)) + SUM(FILTER(TeamBRecordSet, INDEX(TeamBRecordSet, 0, 1) = A637))"),0.0)</f>
        <v>0</v>
      </c>
      <c r="J637" s="2">
        <f t="shared" si="2"/>
        <v>0</v>
      </c>
      <c r="K637" s="2" t="str">
        <f t="shared" si="3"/>
        <v/>
      </c>
    </row>
    <row r="638">
      <c r="A638" s="2"/>
      <c r="B638" s="7"/>
      <c r="D638" s="5" t="str">
        <f>IF(A638 = "", "", COUNTIFS('Game Record'!G:G, A638, 'Game Record'!E:E, C638))</f>
        <v/>
      </c>
      <c r="E638" s="6" t="str">
        <f>IF(A638 = "", "", COUNTIFS('Game Record'!H:H, A638, 'Game Record'!E:E, C638))</f>
        <v/>
      </c>
      <c r="F638" s="2">
        <f t="shared" si="1"/>
        <v>0</v>
      </c>
      <c r="G638" s="1" t="str">
        <f>IF(A638 = "", "", COUNTIF('Game Record'!G:G, A638))</f>
        <v/>
      </c>
      <c r="H638" s="6" t="str">
        <f>IF(A638 = "", "", COUNTIF('Game Record'!H:H, A638))</f>
        <v/>
      </c>
      <c r="I638" s="2">
        <f>IFERROR(__xludf.DUMMYFUNCTION("SUM(FILTER(TeamARecordSet, INDEX(TeamARecordSet, 0, 1) = A638)) + SUM(FILTER(TeamBRecordSet, INDEX(TeamBRecordSet, 0, 1) = A638))"),0.0)</f>
        <v>0</v>
      </c>
      <c r="J638" s="2">
        <f t="shared" si="2"/>
        <v>0</v>
      </c>
      <c r="K638" s="2" t="str">
        <f t="shared" si="3"/>
        <v/>
      </c>
    </row>
    <row r="639">
      <c r="A639" s="2"/>
      <c r="B639" s="7"/>
      <c r="D639" s="5" t="str">
        <f>IF(A639 = "", "", COUNTIFS('Game Record'!G:G, A639, 'Game Record'!E:E, C639))</f>
        <v/>
      </c>
      <c r="E639" s="6" t="str">
        <f>IF(A639 = "", "", COUNTIFS('Game Record'!H:H, A639, 'Game Record'!E:E, C639))</f>
        <v/>
      </c>
      <c r="F639" s="2">
        <f t="shared" si="1"/>
        <v>0</v>
      </c>
      <c r="G639" s="1" t="str">
        <f>IF(A639 = "", "", COUNTIF('Game Record'!G:G, A639))</f>
        <v/>
      </c>
      <c r="H639" s="6" t="str">
        <f>IF(A639 = "", "", COUNTIF('Game Record'!H:H, A639))</f>
        <v/>
      </c>
      <c r="I639" s="2">
        <f>IFERROR(__xludf.DUMMYFUNCTION("SUM(FILTER(TeamARecordSet, INDEX(TeamARecordSet, 0, 1) = A639)) + SUM(FILTER(TeamBRecordSet, INDEX(TeamBRecordSet, 0, 1) = A639))"),0.0)</f>
        <v>0</v>
      </c>
      <c r="J639" s="2">
        <f t="shared" si="2"/>
        <v>0</v>
      </c>
      <c r="K639" s="2" t="str">
        <f t="shared" si="3"/>
        <v/>
      </c>
    </row>
    <row r="640">
      <c r="A640" s="2"/>
      <c r="B640" s="7"/>
      <c r="D640" s="5" t="str">
        <f>IF(A640 = "", "", COUNTIFS('Game Record'!G:G, A640, 'Game Record'!E:E, C640))</f>
        <v/>
      </c>
      <c r="E640" s="6" t="str">
        <f>IF(A640 = "", "", COUNTIFS('Game Record'!H:H, A640, 'Game Record'!E:E, C640))</f>
        <v/>
      </c>
      <c r="F640" s="2">
        <f t="shared" si="1"/>
        <v>0</v>
      </c>
      <c r="G640" s="1" t="str">
        <f>IF(A640 = "", "", COUNTIF('Game Record'!G:G, A640))</f>
        <v/>
      </c>
      <c r="H640" s="6" t="str">
        <f>IF(A640 = "", "", COUNTIF('Game Record'!H:H, A640))</f>
        <v/>
      </c>
      <c r="I640" s="2">
        <f>IFERROR(__xludf.DUMMYFUNCTION("SUM(FILTER(TeamARecordSet, INDEX(TeamARecordSet, 0, 1) = A640)) + SUM(FILTER(TeamBRecordSet, INDEX(TeamBRecordSet, 0, 1) = A640))"),0.0)</f>
        <v>0</v>
      </c>
      <c r="J640" s="2">
        <f t="shared" si="2"/>
        <v>0</v>
      </c>
      <c r="K640" s="2" t="str">
        <f t="shared" si="3"/>
        <v/>
      </c>
    </row>
    <row r="641">
      <c r="A641" s="2"/>
      <c r="B641" s="7"/>
      <c r="D641" s="5" t="str">
        <f>IF(A641 = "", "", COUNTIFS('Game Record'!G:G, A641, 'Game Record'!E:E, C641))</f>
        <v/>
      </c>
      <c r="E641" s="6" t="str">
        <f>IF(A641 = "", "", COUNTIFS('Game Record'!H:H, A641, 'Game Record'!E:E, C641))</f>
        <v/>
      </c>
      <c r="F641" s="2">
        <f t="shared" si="1"/>
        <v>0</v>
      </c>
      <c r="G641" s="1" t="str">
        <f>IF(A641 = "", "", COUNTIF('Game Record'!G:G, A641))</f>
        <v/>
      </c>
      <c r="H641" s="6" t="str">
        <f>IF(A641 = "", "", COUNTIF('Game Record'!H:H, A641))</f>
        <v/>
      </c>
      <c r="I641" s="2">
        <f>IFERROR(__xludf.DUMMYFUNCTION("SUM(FILTER(TeamARecordSet, INDEX(TeamARecordSet, 0, 1) = A641)) + SUM(FILTER(TeamBRecordSet, INDEX(TeamBRecordSet, 0, 1) = A641))"),0.0)</f>
        <v>0</v>
      </c>
      <c r="J641" s="2">
        <f t="shared" si="2"/>
        <v>0</v>
      </c>
      <c r="K641" s="2" t="str">
        <f t="shared" si="3"/>
        <v/>
      </c>
    </row>
    <row r="642">
      <c r="A642" s="2"/>
      <c r="B642" s="7"/>
      <c r="D642" s="5" t="str">
        <f>IF(A642 = "", "", COUNTIFS('Game Record'!G:G, A642, 'Game Record'!E:E, C642))</f>
        <v/>
      </c>
      <c r="E642" s="6" t="str">
        <f>IF(A642 = "", "", COUNTIFS('Game Record'!H:H, A642, 'Game Record'!E:E, C642))</f>
        <v/>
      </c>
      <c r="F642" s="2">
        <f t="shared" si="1"/>
        <v>0</v>
      </c>
      <c r="G642" s="1" t="str">
        <f>IF(A642 = "", "", COUNTIF('Game Record'!G:G, A642))</f>
        <v/>
      </c>
      <c r="H642" s="6" t="str">
        <f>IF(A642 = "", "", COUNTIF('Game Record'!H:H, A642))</f>
        <v/>
      </c>
      <c r="I642" s="2">
        <f>IFERROR(__xludf.DUMMYFUNCTION("SUM(FILTER(TeamARecordSet, INDEX(TeamARecordSet, 0, 1) = A642)) + SUM(FILTER(TeamBRecordSet, INDEX(TeamBRecordSet, 0, 1) = A642))"),0.0)</f>
        <v>0</v>
      </c>
      <c r="J642" s="2">
        <f t="shared" si="2"/>
        <v>0</v>
      </c>
      <c r="K642" s="2" t="str">
        <f t="shared" si="3"/>
        <v/>
      </c>
    </row>
    <row r="643">
      <c r="A643" s="2"/>
      <c r="B643" s="7"/>
      <c r="D643" s="5" t="str">
        <f>IF(A643 = "", "", COUNTIFS('Game Record'!G:G, A643, 'Game Record'!E:E, C643))</f>
        <v/>
      </c>
      <c r="E643" s="6" t="str">
        <f>IF(A643 = "", "", COUNTIFS('Game Record'!H:H, A643, 'Game Record'!E:E, C643))</f>
        <v/>
      </c>
      <c r="F643" s="2">
        <f t="shared" si="1"/>
        <v>0</v>
      </c>
      <c r="G643" s="1" t="str">
        <f>IF(A643 = "", "", COUNTIF('Game Record'!G:G, A643))</f>
        <v/>
      </c>
      <c r="H643" s="6" t="str">
        <f>IF(A643 = "", "", COUNTIF('Game Record'!H:H, A643))</f>
        <v/>
      </c>
      <c r="I643" s="2">
        <f>IFERROR(__xludf.DUMMYFUNCTION("SUM(FILTER(TeamARecordSet, INDEX(TeamARecordSet, 0, 1) = A643)) + SUM(FILTER(TeamBRecordSet, INDEX(TeamBRecordSet, 0, 1) = A643))"),0.0)</f>
        <v>0</v>
      </c>
      <c r="J643" s="2">
        <f t="shared" si="2"/>
        <v>0</v>
      </c>
      <c r="K643" s="2" t="str">
        <f t="shared" si="3"/>
        <v/>
      </c>
    </row>
    <row r="644">
      <c r="A644" s="2"/>
      <c r="B644" s="7"/>
      <c r="D644" s="5" t="str">
        <f>IF(A644 = "", "", COUNTIFS('Game Record'!G:G, A644, 'Game Record'!E:E, C644))</f>
        <v/>
      </c>
      <c r="E644" s="6" t="str">
        <f>IF(A644 = "", "", COUNTIFS('Game Record'!H:H, A644, 'Game Record'!E:E, C644))</f>
        <v/>
      </c>
      <c r="F644" s="2">
        <f t="shared" si="1"/>
        <v>0</v>
      </c>
      <c r="G644" s="1" t="str">
        <f>IF(A644 = "", "", COUNTIF('Game Record'!G:G, A644))</f>
        <v/>
      </c>
      <c r="H644" s="6" t="str">
        <f>IF(A644 = "", "", COUNTIF('Game Record'!H:H, A644))</f>
        <v/>
      </c>
      <c r="I644" s="2">
        <f>IFERROR(__xludf.DUMMYFUNCTION("SUM(FILTER(TeamARecordSet, INDEX(TeamARecordSet, 0, 1) = A644)) + SUM(FILTER(TeamBRecordSet, INDEX(TeamBRecordSet, 0, 1) = A644))"),0.0)</f>
        <v>0</v>
      </c>
      <c r="J644" s="2">
        <f t="shared" si="2"/>
        <v>0</v>
      </c>
      <c r="K644" s="2" t="str">
        <f t="shared" si="3"/>
        <v/>
      </c>
    </row>
    <row r="645">
      <c r="A645" s="2"/>
      <c r="B645" s="7"/>
      <c r="D645" s="5" t="str">
        <f>IF(A645 = "", "", COUNTIFS('Game Record'!G:G, A645, 'Game Record'!E:E, C645))</f>
        <v/>
      </c>
      <c r="E645" s="6" t="str">
        <f>IF(A645 = "", "", COUNTIFS('Game Record'!H:H, A645, 'Game Record'!E:E, C645))</f>
        <v/>
      </c>
      <c r="F645" s="2">
        <f t="shared" si="1"/>
        <v>0</v>
      </c>
      <c r="G645" s="1" t="str">
        <f>IF(A645 = "", "", COUNTIF('Game Record'!G:G, A645))</f>
        <v/>
      </c>
      <c r="H645" s="6" t="str">
        <f>IF(A645 = "", "", COUNTIF('Game Record'!H:H, A645))</f>
        <v/>
      </c>
      <c r="I645" s="2">
        <f>IFERROR(__xludf.DUMMYFUNCTION("SUM(FILTER(TeamARecordSet, INDEX(TeamARecordSet, 0, 1) = A645)) + SUM(FILTER(TeamBRecordSet, INDEX(TeamBRecordSet, 0, 1) = A645))"),0.0)</f>
        <v>0</v>
      </c>
      <c r="J645" s="2">
        <f t="shared" si="2"/>
        <v>0</v>
      </c>
      <c r="K645" s="2" t="str">
        <f t="shared" si="3"/>
        <v/>
      </c>
    </row>
    <row r="646">
      <c r="A646" s="2"/>
      <c r="B646" s="7"/>
      <c r="D646" s="5" t="str">
        <f>IF(A646 = "", "", COUNTIFS('Game Record'!G:G, A646, 'Game Record'!E:E, C646))</f>
        <v/>
      </c>
      <c r="E646" s="6" t="str">
        <f>IF(A646 = "", "", COUNTIFS('Game Record'!H:H, A646, 'Game Record'!E:E, C646))</f>
        <v/>
      </c>
      <c r="F646" s="2">
        <f t="shared" si="1"/>
        <v>0</v>
      </c>
      <c r="G646" s="1" t="str">
        <f>IF(A646 = "", "", COUNTIF('Game Record'!G:G, A646))</f>
        <v/>
      </c>
      <c r="H646" s="6" t="str">
        <f>IF(A646 = "", "", COUNTIF('Game Record'!H:H, A646))</f>
        <v/>
      </c>
      <c r="I646" s="2">
        <f>IFERROR(__xludf.DUMMYFUNCTION("SUM(FILTER(TeamARecordSet, INDEX(TeamARecordSet, 0, 1) = A646)) + SUM(FILTER(TeamBRecordSet, INDEX(TeamBRecordSet, 0, 1) = A646))"),0.0)</f>
        <v>0</v>
      </c>
      <c r="J646" s="2">
        <f t="shared" si="2"/>
        <v>0</v>
      </c>
      <c r="K646" s="2" t="str">
        <f t="shared" si="3"/>
        <v/>
      </c>
    </row>
    <row r="647">
      <c r="A647" s="2"/>
      <c r="B647" s="7"/>
      <c r="D647" s="5" t="str">
        <f>IF(A647 = "", "", COUNTIFS('Game Record'!G:G, A647, 'Game Record'!E:E, C647))</f>
        <v/>
      </c>
      <c r="E647" s="6" t="str">
        <f>IF(A647 = "", "", COUNTIFS('Game Record'!H:H, A647, 'Game Record'!E:E, C647))</f>
        <v/>
      </c>
      <c r="F647" s="2">
        <f t="shared" si="1"/>
        <v>0</v>
      </c>
      <c r="G647" s="1" t="str">
        <f>IF(A647 = "", "", COUNTIF('Game Record'!G:G, A647))</f>
        <v/>
      </c>
      <c r="H647" s="6" t="str">
        <f>IF(A647 = "", "", COUNTIF('Game Record'!H:H, A647))</f>
        <v/>
      </c>
      <c r="I647" s="2">
        <f>IFERROR(__xludf.DUMMYFUNCTION("SUM(FILTER(TeamARecordSet, INDEX(TeamARecordSet, 0, 1) = A647)) + SUM(FILTER(TeamBRecordSet, INDEX(TeamBRecordSet, 0, 1) = A647))"),0.0)</f>
        <v>0</v>
      </c>
      <c r="J647" s="2">
        <f t="shared" si="2"/>
        <v>0</v>
      </c>
      <c r="K647" s="2" t="str">
        <f t="shared" si="3"/>
        <v/>
      </c>
    </row>
    <row r="648">
      <c r="A648" s="2"/>
      <c r="B648" s="7"/>
      <c r="D648" s="5" t="str">
        <f>IF(A648 = "", "", COUNTIFS('Game Record'!G:G, A648, 'Game Record'!E:E, C648))</f>
        <v/>
      </c>
      <c r="E648" s="6" t="str">
        <f>IF(A648 = "", "", COUNTIFS('Game Record'!H:H, A648, 'Game Record'!E:E, C648))</f>
        <v/>
      </c>
      <c r="F648" s="2">
        <f t="shared" si="1"/>
        <v>0</v>
      </c>
      <c r="G648" s="1" t="str">
        <f>IF(A648 = "", "", COUNTIF('Game Record'!G:G, A648))</f>
        <v/>
      </c>
      <c r="H648" s="6" t="str">
        <f>IF(A648 = "", "", COUNTIF('Game Record'!H:H, A648))</f>
        <v/>
      </c>
      <c r="I648" s="2">
        <f>IFERROR(__xludf.DUMMYFUNCTION("SUM(FILTER(TeamARecordSet, INDEX(TeamARecordSet, 0, 1) = A648)) + SUM(FILTER(TeamBRecordSet, INDEX(TeamBRecordSet, 0, 1) = A648))"),0.0)</f>
        <v>0</v>
      </c>
      <c r="J648" s="2">
        <f t="shared" si="2"/>
        <v>0</v>
      </c>
      <c r="K648" s="2" t="str">
        <f t="shared" si="3"/>
        <v/>
      </c>
    </row>
    <row r="649">
      <c r="A649" s="2"/>
      <c r="B649" s="7"/>
      <c r="D649" s="5" t="str">
        <f>IF(A649 = "", "", COUNTIFS('Game Record'!G:G, A649, 'Game Record'!E:E, C649))</f>
        <v/>
      </c>
      <c r="E649" s="6" t="str">
        <f>IF(A649 = "", "", COUNTIFS('Game Record'!H:H, A649, 'Game Record'!E:E, C649))</f>
        <v/>
      </c>
      <c r="F649" s="2">
        <f t="shared" si="1"/>
        <v>0</v>
      </c>
      <c r="G649" s="1" t="str">
        <f>IF(A649 = "", "", COUNTIF('Game Record'!G:G, A649))</f>
        <v/>
      </c>
      <c r="H649" s="6" t="str">
        <f>IF(A649 = "", "", COUNTIF('Game Record'!H:H, A649))</f>
        <v/>
      </c>
      <c r="I649" s="2">
        <f>IFERROR(__xludf.DUMMYFUNCTION("SUM(FILTER(TeamARecordSet, INDEX(TeamARecordSet, 0, 1) = A649)) + SUM(FILTER(TeamBRecordSet, INDEX(TeamBRecordSet, 0, 1) = A649))"),0.0)</f>
        <v>0</v>
      </c>
      <c r="J649" s="2">
        <f t="shared" si="2"/>
        <v>0</v>
      </c>
      <c r="K649" s="2" t="str">
        <f t="shared" si="3"/>
        <v/>
      </c>
    </row>
    <row r="650">
      <c r="A650" s="2"/>
      <c r="B650" s="7"/>
      <c r="D650" s="5" t="str">
        <f>IF(A650 = "", "", COUNTIFS('Game Record'!G:G, A650, 'Game Record'!E:E, C650))</f>
        <v/>
      </c>
      <c r="E650" s="6" t="str">
        <f>IF(A650 = "", "", COUNTIFS('Game Record'!H:H, A650, 'Game Record'!E:E, C650))</f>
        <v/>
      </c>
      <c r="F650" s="2">
        <f t="shared" si="1"/>
        <v>0</v>
      </c>
      <c r="G650" s="1" t="str">
        <f>IF(A650 = "", "", COUNTIF('Game Record'!G:G, A650))</f>
        <v/>
      </c>
      <c r="H650" s="6" t="str">
        <f>IF(A650 = "", "", COUNTIF('Game Record'!H:H, A650))</f>
        <v/>
      </c>
      <c r="I650" s="2">
        <f>IFERROR(__xludf.DUMMYFUNCTION("SUM(FILTER(TeamARecordSet, INDEX(TeamARecordSet, 0, 1) = A650)) + SUM(FILTER(TeamBRecordSet, INDEX(TeamBRecordSet, 0, 1) = A650))"),0.0)</f>
        <v>0</v>
      </c>
      <c r="J650" s="2">
        <f t="shared" si="2"/>
        <v>0</v>
      </c>
      <c r="K650" s="2" t="str">
        <f t="shared" si="3"/>
        <v/>
      </c>
    </row>
    <row r="651">
      <c r="A651" s="2"/>
      <c r="B651" s="7"/>
      <c r="D651" s="5" t="str">
        <f>IF(A651 = "", "", COUNTIFS('Game Record'!G:G, A651, 'Game Record'!E:E, C651))</f>
        <v/>
      </c>
      <c r="E651" s="6" t="str">
        <f>IF(A651 = "", "", COUNTIFS('Game Record'!H:H, A651, 'Game Record'!E:E, C651))</f>
        <v/>
      </c>
      <c r="F651" s="2">
        <f t="shared" si="1"/>
        <v>0</v>
      </c>
      <c r="G651" s="1" t="str">
        <f>IF(A651 = "", "", COUNTIF('Game Record'!G:G, A651))</f>
        <v/>
      </c>
      <c r="H651" s="6" t="str">
        <f>IF(A651 = "", "", COUNTIF('Game Record'!H:H, A651))</f>
        <v/>
      </c>
      <c r="I651" s="2">
        <f>IFERROR(__xludf.DUMMYFUNCTION("SUM(FILTER(TeamARecordSet, INDEX(TeamARecordSet, 0, 1) = A651)) + SUM(FILTER(TeamBRecordSet, INDEX(TeamBRecordSet, 0, 1) = A651))"),0.0)</f>
        <v>0</v>
      </c>
      <c r="J651" s="2">
        <f t="shared" si="2"/>
        <v>0</v>
      </c>
      <c r="K651" s="2" t="str">
        <f t="shared" si="3"/>
        <v/>
      </c>
    </row>
    <row r="652">
      <c r="A652" s="2"/>
      <c r="B652" s="7"/>
      <c r="D652" s="5" t="str">
        <f>IF(A652 = "", "", COUNTIFS('Game Record'!G:G, A652, 'Game Record'!E:E, C652))</f>
        <v/>
      </c>
      <c r="E652" s="6" t="str">
        <f>IF(A652 = "", "", COUNTIFS('Game Record'!H:H, A652, 'Game Record'!E:E, C652))</f>
        <v/>
      </c>
      <c r="F652" s="2">
        <f t="shared" si="1"/>
        <v>0</v>
      </c>
      <c r="G652" s="1" t="str">
        <f>IF(A652 = "", "", COUNTIF('Game Record'!G:G, A652))</f>
        <v/>
      </c>
      <c r="H652" s="6" t="str">
        <f>IF(A652 = "", "", COUNTIF('Game Record'!H:H, A652))</f>
        <v/>
      </c>
      <c r="I652" s="2">
        <f>IFERROR(__xludf.DUMMYFUNCTION("SUM(FILTER(TeamARecordSet, INDEX(TeamARecordSet, 0, 1) = A652)) + SUM(FILTER(TeamBRecordSet, INDEX(TeamBRecordSet, 0, 1) = A652))"),0.0)</f>
        <v>0</v>
      </c>
      <c r="J652" s="2">
        <f t="shared" si="2"/>
        <v>0</v>
      </c>
      <c r="K652" s="2" t="str">
        <f t="shared" si="3"/>
        <v/>
      </c>
    </row>
    <row r="653">
      <c r="A653" s="2"/>
      <c r="B653" s="7"/>
      <c r="D653" s="5" t="str">
        <f>IF(A653 = "", "", COUNTIFS('Game Record'!G:G, A653, 'Game Record'!E:E, C653))</f>
        <v/>
      </c>
      <c r="E653" s="6" t="str">
        <f>IF(A653 = "", "", COUNTIFS('Game Record'!H:H, A653, 'Game Record'!E:E, C653))</f>
        <v/>
      </c>
      <c r="F653" s="2">
        <f t="shared" si="1"/>
        <v>0</v>
      </c>
      <c r="G653" s="1" t="str">
        <f>IF(A653 = "", "", COUNTIF('Game Record'!G:G, A653))</f>
        <v/>
      </c>
      <c r="H653" s="6" t="str">
        <f>IF(A653 = "", "", COUNTIF('Game Record'!H:H, A653))</f>
        <v/>
      </c>
      <c r="I653" s="2">
        <f>IFERROR(__xludf.DUMMYFUNCTION("SUM(FILTER(TeamARecordSet, INDEX(TeamARecordSet, 0, 1) = A653)) + SUM(FILTER(TeamBRecordSet, INDEX(TeamBRecordSet, 0, 1) = A653))"),0.0)</f>
        <v>0</v>
      </c>
      <c r="J653" s="2">
        <f t="shared" si="2"/>
        <v>0</v>
      </c>
      <c r="K653" s="2" t="str">
        <f t="shared" si="3"/>
        <v/>
      </c>
    </row>
    <row r="654">
      <c r="A654" s="2"/>
      <c r="B654" s="7"/>
      <c r="D654" s="5" t="str">
        <f>IF(A654 = "", "", COUNTIFS('Game Record'!G:G, A654, 'Game Record'!E:E, C654))</f>
        <v/>
      </c>
      <c r="E654" s="6" t="str">
        <f>IF(A654 = "", "", COUNTIFS('Game Record'!H:H, A654, 'Game Record'!E:E, C654))</f>
        <v/>
      </c>
      <c r="F654" s="2">
        <f t="shared" si="1"/>
        <v>0</v>
      </c>
      <c r="G654" s="1" t="str">
        <f>IF(A654 = "", "", COUNTIF('Game Record'!G:G, A654))</f>
        <v/>
      </c>
      <c r="H654" s="6" t="str">
        <f>IF(A654 = "", "", COUNTIF('Game Record'!H:H, A654))</f>
        <v/>
      </c>
      <c r="I654" s="2">
        <f>IFERROR(__xludf.DUMMYFUNCTION("SUM(FILTER(TeamARecordSet, INDEX(TeamARecordSet, 0, 1) = A654)) + SUM(FILTER(TeamBRecordSet, INDEX(TeamBRecordSet, 0, 1) = A654))"),0.0)</f>
        <v>0</v>
      </c>
      <c r="J654" s="2">
        <f t="shared" si="2"/>
        <v>0</v>
      </c>
      <c r="K654" s="2" t="str">
        <f t="shared" si="3"/>
        <v/>
      </c>
    </row>
    <row r="655">
      <c r="A655" s="2"/>
      <c r="B655" s="7"/>
      <c r="D655" s="5" t="str">
        <f>IF(A655 = "", "", COUNTIFS('Game Record'!G:G, A655, 'Game Record'!E:E, C655))</f>
        <v/>
      </c>
      <c r="E655" s="6" t="str">
        <f>IF(A655 = "", "", COUNTIFS('Game Record'!H:H, A655, 'Game Record'!E:E, C655))</f>
        <v/>
      </c>
      <c r="F655" s="2">
        <f t="shared" si="1"/>
        <v>0</v>
      </c>
      <c r="G655" s="1" t="str">
        <f>IF(A655 = "", "", COUNTIF('Game Record'!G:G, A655))</f>
        <v/>
      </c>
      <c r="H655" s="6" t="str">
        <f>IF(A655 = "", "", COUNTIF('Game Record'!H:H, A655))</f>
        <v/>
      </c>
      <c r="I655" s="2">
        <f>IFERROR(__xludf.DUMMYFUNCTION("SUM(FILTER(TeamARecordSet, INDEX(TeamARecordSet, 0, 1) = A655)) + SUM(FILTER(TeamBRecordSet, INDEX(TeamBRecordSet, 0, 1) = A655))"),0.0)</f>
        <v>0</v>
      </c>
      <c r="J655" s="2">
        <f t="shared" si="2"/>
        <v>0</v>
      </c>
      <c r="K655" s="2" t="str">
        <f t="shared" si="3"/>
        <v/>
      </c>
    </row>
    <row r="656">
      <c r="A656" s="2"/>
      <c r="B656" s="7"/>
      <c r="D656" s="5" t="str">
        <f>IF(A656 = "", "", COUNTIFS('Game Record'!G:G, A656, 'Game Record'!E:E, C656))</f>
        <v/>
      </c>
      <c r="E656" s="6" t="str">
        <f>IF(A656 = "", "", COUNTIFS('Game Record'!H:H, A656, 'Game Record'!E:E, C656))</f>
        <v/>
      </c>
      <c r="F656" s="2">
        <f t="shared" si="1"/>
        <v>0</v>
      </c>
      <c r="G656" s="1" t="str">
        <f>IF(A656 = "", "", COUNTIF('Game Record'!G:G, A656))</f>
        <v/>
      </c>
      <c r="H656" s="6" t="str">
        <f>IF(A656 = "", "", COUNTIF('Game Record'!H:H, A656))</f>
        <v/>
      </c>
      <c r="I656" s="2">
        <f>IFERROR(__xludf.DUMMYFUNCTION("SUM(FILTER(TeamARecordSet, INDEX(TeamARecordSet, 0, 1) = A656)) + SUM(FILTER(TeamBRecordSet, INDEX(TeamBRecordSet, 0, 1) = A656))"),0.0)</f>
        <v>0</v>
      </c>
      <c r="J656" s="2">
        <f t="shared" si="2"/>
        <v>0</v>
      </c>
      <c r="K656" s="2" t="str">
        <f t="shared" si="3"/>
        <v/>
      </c>
    </row>
    <row r="657">
      <c r="A657" s="2"/>
      <c r="B657" s="7"/>
      <c r="D657" s="5" t="str">
        <f>IF(A657 = "", "", COUNTIFS('Game Record'!G:G, A657, 'Game Record'!E:E, C657))</f>
        <v/>
      </c>
      <c r="E657" s="6" t="str">
        <f>IF(A657 = "", "", COUNTIFS('Game Record'!H:H, A657, 'Game Record'!E:E, C657))</f>
        <v/>
      </c>
      <c r="F657" s="2">
        <f t="shared" si="1"/>
        <v>0</v>
      </c>
      <c r="G657" s="1" t="str">
        <f>IF(A657 = "", "", COUNTIF('Game Record'!G:G, A657))</f>
        <v/>
      </c>
      <c r="H657" s="6" t="str">
        <f>IF(A657 = "", "", COUNTIF('Game Record'!H:H, A657))</f>
        <v/>
      </c>
      <c r="I657" s="2">
        <f>IFERROR(__xludf.DUMMYFUNCTION("SUM(FILTER(TeamARecordSet, INDEX(TeamARecordSet, 0, 1) = A657)) + SUM(FILTER(TeamBRecordSet, INDEX(TeamBRecordSet, 0, 1) = A657))"),0.0)</f>
        <v>0</v>
      </c>
      <c r="J657" s="2">
        <f t="shared" si="2"/>
        <v>0</v>
      </c>
      <c r="K657" s="2" t="str">
        <f t="shared" si="3"/>
        <v/>
      </c>
    </row>
    <row r="658">
      <c r="A658" s="2"/>
      <c r="B658" s="7"/>
      <c r="D658" s="5" t="str">
        <f>IF(A658 = "", "", COUNTIFS('Game Record'!G:G, A658, 'Game Record'!E:E, C658))</f>
        <v/>
      </c>
      <c r="E658" s="6" t="str">
        <f>IF(A658 = "", "", COUNTIFS('Game Record'!H:H, A658, 'Game Record'!E:E, C658))</f>
        <v/>
      </c>
      <c r="F658" s="2">
        <f t="shared" si="1"/>
        <v>0</v>
      </c>
      <c r="G658" s="1" t="str">
        <f>IF(A658 = "", "", COUNTIF('Game Record'!G:G, A658))</f>
        <v/>
      </c>
      <c r="H658" s="6" t="str">
        <f>IF(A658 = "", "", COUNTIF('Game Record'!H:H, A658))</f>
        <v/>
      </c>
      <c r="I658" s="2">
        <f>IFERROR(__xludf.DUMMYFUNCTION("SUM(FILTER(TeamARecordSet, INDEX(TeamARecordSet, 0, 1) = A658)) + SUM(FILTER(TeamBRecordSet, INDEX(TeamBRecordSet, 0, 1) = A658))"),0.0)</f>
        <v>0</v>
      </c>
      <c r="J658" s="2">
        <f t="shared" si="2"/>
        <v>0</v>
      </c>
      <c r="K658" s="2" t="str">
        <f t="shared" si="3"/>
        <v/>
      </c>
    </row>
    <row r="659">
      <c r="A659" s="2"/>
      <c r="B659" s="7"/>
      <c r="D659" s="5" t="str">
        <f>IF(A659 = "", "", COUNTIFS('Game Record'!G:G, A659, 'Game Record'!E:E, C659))</f>
        <v/>
      </c>
      <c r="E659" s="6" t="str">
        <f>IF(A659 = "", "", COUNTIFS('Game Record'!H:H, A659, 'Game Record'!E:E, C659))</f>
        <v/>
      </c>
      <c r="F659" s="2">
        <f t="shared" si="1"/>
        <v>0</v>
      </c>
      <c r="G659" s="1" t="str">
        <f>IF(A659 = "", "", COUNTIF('Game Record'!G:G, A659))</f>
        <v/>
      </c>
      <c r="H659" s="6" t="str">
        <f>IF(A659 = "", "", COUNTIF('Game Record'!H:H, A659))</f>
        <v/>
      </c>
      <c r="I659" s="2">
        <f>IFERROR(__xludf.DUMMYFUNCTION("SUM(FILTER(TeamARecordSet, INDEX(TeamARecordSet, 0, 1) = A659)) + SUM(FILTER(TeamBRecordSet, INDEX(TeamBRecordSet, 0, 1) = A659))"),0.0)</f>
        <v>0</v>
      </c>
      <c r="J659" s="2">
        <f t="shared" si="2"/>
        <v>0</v>
      </c>
      <c r="K659" s="2" t="str">
        <f t="shared" si="3"/>
        <v/>
      </c>
    </row>
    <row r="660">
      <c r="A660" s="2"/>
      <c r="B660" s="7"/>
      <c r="D660" s="5" t="str">
        <f>IF(A660 = "", "", COUNTIFS('Game Record'!G:G, A660, 'Game Record'!E:E, C660))</f>
        <v/>
      </c>
      <c r="E660" s="6" t="str">
        <f>IF(A660 = "", "", COUNTIFS('Game Record'!H:H, A660, 'Game Record'!E:E, C660))</f>
        <v/>
      </c>
      <c r="F660" s="2">
        <f t="shared" si="1"/>
        <v>0</v>
      </c>
      <c r="G660" s="1" t="str">
        <f>IF(A660 = "", "", COUNTIF('Game Record'!G:G, A660))</f>
        <v/>
      </c>
      <c r="H660" s="6" t="str">
        <f>IF(A660 = "", "", COUNTIF('Game Record'!H:H, A660))</f>
        <v/>
      </c>
      <c r="I660" s="2">
        <f>IFERROR(__xludf.DUMMYFUNCTION("SUM(FILTER(TeamARecordSet, INDEX(TeamARecordSet, 0, 1) = A660)) + SUM(FILTER(TeamBRecordSet, INDEX(TeamBRecordSet, 0, 1) = A660))"),0.0)</f>
        <v>0</v>
      </c>
      <c r="J660" s="2">
        <f t="shared" si="2"/>
        <v>0</v>
      </c>
      <c r="K660" s="2" t="str">
        <f t="shared" si="3"/>
        <v/>
      </c>
    </row>
    <row r="661">
      <c r="A661" s="2"/>
      <c r="B661" s="7"/>
      <c r="D661" s="5" t="str">
        <f>IF(A661 = "", "", COUNTIFS('Game Record'!G:G, A661, 'Game Record'!E:E, C661))</f>
        <v/>
      </c>
      <c r="E661" s="6" t="str">
        <f>IF(A661 = "", "", COUNTIFS('Game Record'!H:H, A661, 'Game Record'!E:E, C661))</f>
        <v/>
      </c>
      <c r="F661" s="2">
        <f t="shared" si="1"/>
        <v>0</v>
      </c>
      <c r="G661" s="1" t="str">
        <f>IF(A661 = "", "", COUNTIF('Game Record'!G:G, A661))</f>
        <v/>
      </c>
      <c r="H661" s="6" t="str">
        <f>IF(A661 = "", "", COUNTIF('Game Record'!H:H, A661))</f>
        <v/>
      </c>
      <c r="I661" s="2">
        <f>IFERROR(__xludf.DUMMYFUNCTION("SUM(FILTER(TeamARecordSet, INDEX(TeamARecordSet, 0, 1) = A661)) + SUM(FILTER(TeamBRecordSet, INDEX(TeamBRecordSet, 0, 1) = A661))"),0.0)</f>
        <v>0</v>
      </c>
      <c r="J661" s="2">
        <f t="shared" si="2"/>
        <v>0</v>
      </c>
      <c r="K661" s="2" t="str">
        <f t="shared" si="3"/>
        <v/>
      </c>
    </row>
    <row r="662">
      <c r="A662" s="2"/>
      <c r="B662" s="7"/>
      <c r="D662" s="5" t="str">
        <f>IF(A662 = "", "", COUNTIFS('Game Record'!G:G, A662, 'Game Record'!E:E, C662))</f>
        <v/>
      </c>
      <c r="E662" s="6" t="str">
        <f>IF(A662 = "", "", COUNTIFS('Game Record'!H:H, A662, 'Game Record'!E:E, C662))</f>
        <v/>
      </c>
      <c r="F662" s="2">
        <f t="shared" si="1"/>
        <v>0</v>
      </c>
      <c r="G662" s="1" t="str">
        <f>IF(A662 = "", "", COUNTIF('Game Record'!G:G, A662))</f>
        <v/>
      </c>
      <c r="H662" s="6" t="str">
        <f>IF(A662 = "", "", COUNTIF('Game Record'!H:H, A662))</f>
        <v/>
      </c>
      <c r="I662" s="2">
        <f>IFERROR(__xludf.DUMMYFUNCTION("SUM(FILTER(TeamARecordSet, INDEX(TeamARecordSet, 0, 1) = A662)) + SUM(FILTER(TeamBRecordSet, INDEX(TeamBRecordSet, 0, 1) = A662))"),0.0)</f>
        <v>0</v>
      </c>
      <c r="J662" s="2">
        <f t="shared" si="2"/>
        <v>0</v>
      </c>
      <c r="K662" s="2" t="str">
        <f t="shared" si="3"/>
        <v/>
      </c>
    </row>
    <row r="663">
      <c r="A663" s="2"/>
      <c r="B663" s="7"/>
      <c r="D663" s="5" t="str">
        <f>IF(A663 = "", "", COUNTIFS('Game Record'!G:G, A663, 'Game Record'!E:E, C663))</f>
        <v/>
      </c>
      <c r="E663" s="6" t="str">
        <f>IF(A663 = "", "", COUNTIFS('Game Record'!H:H, A663, 'Game Record'!E:E, C663))</f>
        <v/>
      </c>
      <c r="F663" s="2">
        <f t="shared" si="1"/>
        <v>0</v>
      </c>
      <c r="G663" s="1" t="str">
        <f>IF(A663 = "", "", COUNTIF('Game Record'!G:G, A663))</f>
        <v/>
      </c>
      <c r="H663" s="6" t="str">
        <f>IF(A663 = "", "", COUNTIF('Game Record'!H:H, A663))</f>
        <v/>
      </c>
      <c r="I663" s="2">
        <f>IFERROR(__xludf.DUMMYFUNCTION("SUM(FILTER(TeamARecordSet, INDEX(TeamARecordSet, 0, 1) = A663)) + SUM(FILTER(TeamBRecordSet, INDEX(TeamBRecordSet, 0, 1) = A663))"),0.0)</f>
        <v>0</v>
      </c>
      <c r="J663" s="2">
        <f t="shared" si="2"/>
        <v>0</v>
      </c>
      <c r="K663" s="2" t="str">
        <f t="shared" si="3"/>
        <v/>
      </c>
    </row>
    <row r="664">
      <c r="A664" s="2"/>
      <c r="B664" s="7"/>
      <c r="D664" s="5" t="str">
        <f>IF(A664 = "", "", COUNTIFS('Game Record'!G:G, A664, 'Game Record'!E:E, C664))</f>
        <v/>
      </c>
      <c r="E664" s="6" t="str">
        <f>IF(A664 = "", "", COUNTIFS('Game Record'!H:H, A664, 'Game Record'!E:E, C664))</f>
        <v/>
      </c>
      <c r="F664" s="2">
        <f t="shared" si="1"/>
        <v>0</v>
      </c>
      <c r="G664" s="1" t="str">
        <f>IF(A664 = "", "", COUNTIF('Game Record'!G:G, A664))</f>
        <v/>
      </c>
      <c r="H664" s="6" t="str">
        <f>IF(A664 = "", "", COUNTIF('Game Record'!H:H, A664))</f>
        <v/>
      </c>
      <c r="I664" s="2">
        <f>IFERROR(__xludf.DUMMYFUNCTION("SUM(FILTER(TeamARecordSet, INDEX(TeamARecordSet, 0, 1) = A664)) + SUM(FILTER(TeamBRecordSet, INDEX(TeamBRecordSet, 0, 1) = A664))"),0.0)</f>
        <v>0</v>
      </c>
      <c r="J664" s="2">
        <f t="shared" si="2"/>
        <v>0</v>
      </c>
      <c r="K664" s="2" t="str">
        <f t="shared" si="3"/>
        <v/>
      </c>
    </row>
    <row r="665">
      <c r="A665" s="2"/>
      <c r="B665" s="7"/>
      <c r="D665" s="5" t="str">
        <f>IF(A665 = "", "", COUNTIFS('Game Record'!G:G, A665, 'Game Record'!E:E, C665))</f>
        <v/>
      </c>
      <c r="E665" s="6" t="str">
        <f>IF(A665 = "", "", COUNTIFS('Game Record'!H:H, A665, 'Game Record'!E:E, C665))</f>
        <v/>
      </c>
      <c r="F665" s="2">
        <f t="shared" si="1"/>
        <v>0</v>
      </c>
      <c r="G665" s="1" t="str">
        <f>IF(A665 = "", "", COUNTIF('Game Record'!G:G, A665))</f>
        <v/>
      </c>
      <c r="H665" s="6" t="str">
        <f>IF(A665 = "", "", COUNTIF('Game Record'!H:H, A665))</f>
        <v/>
      </c>
      <c r="I665" s="2">
        <f>IFERROR(__xludf.DUMMYFUNCTION("SUM(FILTER(TeamARecordSet, INDEX(TeamARecordSet, 0, 1) = A665)) + SUM(FILTER(TeamBRecordSet, INDEX(TeamBRecordSet, 0, 1) = A665))"),0.0)</f>
        <v>0</v>
      </c>
      <c r="J665" s="2">
        <f t="shared" si="2"/>
        <v>0</v>
      </c>
      <c r="K665" s="2" t="str">
        <f t="shared" si="3"/>
        <v/>
      </c>
    </row>
    <row r="666">
      <c r="A666" s="2"/>
      <c r="B666" s="7"/>
      <c r="D666" s="5" t="str">
        <f>IF(A666 = "", "", COUNTIFS('Game Record'!G:G, A666, 'Game Record'!E:E, C666))</f>
        <v/>
      </c>
      <c r="E666" s="6" t="str">
        <f>IF(A666 = "", "", COUNTIFS('Game Record'!H:H, A666, 'Game Record'!E:E, C666))</f>
        <v/>
      </c>
      <c r="F666" s="2">
        <f t="shared" si="1"/>
        <v>0</v>
      </c>
      <c r="G666" s="1" t="str">
        <f>IF(A666 = "", "", COUNTIF('Game Record'!G:G, A666))</f>
        <v/>
      </c>
      <c r="H666" s="6" t="str">
        <f>IF(A666 = "", "", COUNTIF('Game Record'!H:H, A666))</f>
        <v/>
      </c>
      <c r="I666" s="2">
        <f>IFERROR(__xludf.DUMMYFUNCTION("SUM(FILTER(TeamARecordSet, INDEX(TeamARecordSet, 0, 1) = A666)) + SUM(FILTER(TeamBRecordSet, INDEX(TeamBRecordSet, 0, 1) = A666))"),0.0)</f>
        <v>0</v>
      </c>
      <c r="J666" s="2">
        <f t="shared" si="2"/>
        <v>0</v>
      </c>
      <c r="K666" s="2" t="str">
        <f t="shared" si="3"/>
        <v/>
      </c>
    </row>
    <row r="667">
      <c r="A667" s="2"/>
      <c r="B667" s="7"/>
      <c r="D667" s="5" t="str">
        <f>IF(A667 = "", "", COUNTIFS('Game Record'!G:G, A667, 'Game Record'!E:E, C667))</f>
        <v/>
      </c>
      <c r="E667" s="6" t="str">
        <f>IF(A667 = "", "", COUNTIFS('Game Record'!H:H, A667, 'Game Record'!E:E, C667))</f>
        <v/>
      </c>
      <c r="F667" s="2">
        <f t="shared" si="1"/>
        <v>0</v>
      </c>
      <c r="G667" s="1" t="str">
        <f>IF(A667 = "", "", COUNTIF('Game Record'!G:G, A667))</f>
        <v/>
      </c>
      <c r="H667" s="6" t="str">
        <f>IF(A667 = "", "", COUNTIF('Game Record'!H:H, A667))</f>
        <v/>
      </c>
      <c r="I667" s="2">
        <f>IFERROR(__xludf.DUMMYFUNCTION("SUM(FILTER(TeamARecordSet, INDEX(TeamARecordSet, 0, 1) = A667)) + SUM(FILTER(TeamBRecordSet, INDEX(TeamBRecordSet, 0, 1) = A667))"),0.0)</f>
        <v>0</v>
      </c>
      <c r="J667" s="2">
        <f t="shared" si="2"/>
        <v>0</v>
      </c>
      <c r="K667" s="2" t="str">
        <f t="shared" si="3"/>
        <v/>
      </c>
    </row>
    <row r="668">
      <c r="A668" s="2"/>
      <c r="B668" s="7"/>
      <c r="D668" s="5" t="str">
        <f>IF(A668 = "", "", COUNTIFS('Game Record'!G:G, A668, 'Game Record'!E:E, C668))</f>
        <v/>
      </c>
      <c r="E668" s="6" t="str">
        <f>IF(A668 = "", "", COUNTIFS('Game Record'!H:H, A668, 'Game Record'!E:E, C668))</f>
        <v/>
      </c>
      <c r="F668" s="2">
        <f t="shared" si="1"/>
        <v>0</v>
      </c>
      <c r="G668" s="1" t="str">
        <f>IF(A668 = "", "", COUNTIF('Game Record'!G:G, A668))</f>
        <v/>
      </c>
      <c r="H668" s="6" t="str">
        <f>IF(A668 = "", "", COUNTIF('Game Record'!H:H, A668))</f>
        <v/>
      </c>
      <c r="I668" s="2">
        <f>IFERROR(__xludf.DUMMYFUNCTION("SUM(FILTER(TeamARecordSet, INDEX(TeamARecordSet, 0, 1) = A668)) + SUM(FILTER(TeamBRecordSet, INDEX(TeamBRecordSet, 0, 1) = A668))"),0.0)</f>
        <v>0</v>
      </c>
      <c r="J668" s="2">
        <f t="shared" si="2"/>
        <v>0</v>
      </c>
      <c r="K668" s="2" t="str">
        <f t="shared" si="3"/>
        <v/>
      </c>
    </row>
    <row r="669">
      <c r="A669" s="2"/>
      <c r="B669" s="7"/>
      <c r="D669" s="5" t="str">
        <f>IF(A669 = "", "", COUNTIFS('Game Record'!G:G, A669, 'Game Record'!E:E, C669))</f>
        <v/>
      </c>
      <c r="E669" s="6" t="str">
        <f>IF(A669 = "", "", COUNTIFS('Game Record'!H:H, A669, 'Game Record'!E:E, C669))</f>
        <v/>
      </c>
      <c r="F669" s="2">
        <f t="shared" si="1"/>
        <v>0</v>
      </c>
      <c r="G669" s="1" t="str">
        <f>IF(A669 = "", "", COUNTIF('Game Record'!G:G, A669))</f>
        <v/>
      </c>
      <c r="H669" s="6" t="str">
        <f>IF(A669 = "", "", COUNTIF('Game Record'!H:H, A669))</f>
        <v/>
      </c>
      <c r="I669" s="2">
        <f>IFERROR(__xludf.DUMMYFUNCTION("SUM(FILTER(TeamARecordSet, INDEX(TeamARecordSet, 0, 1) = A669)) + SUM(FILTER(TeamBRecordSet, INDEX(TeamBRecordSet, 0, 1) = A669))"),0.0)</f>
        <v>0</v>
      </c>
      <c r="J669" s="2">
        <f t="shared" si="2"/>
        <v>0</v>
      </c>
      <c r="K669" s="2" t="str">
        <f t="shared" si="3"/>
        <v/>
      </c>
    </row>
    <row r="670">
      <c r="A670" s="2"/>
      <c r="B670" s="7"/>
      <c r="D670" s="5" t="str">
        <f>IF(A670 = "", "", COUNTIFS('Game Record'!G:G, A670, 'Game Record'!E:E, C670))</f>
        <v/>
      </c>
      <c r="E670" s="6" t="str">
        <f>IF(A670 = "", "", COUNTIFS('Game Record'!H:H, A670, 'Game Record'!E:E, C670))</f>
        <v/>
      </c>
      <c r="F670" s="2">
        <f t="shared" si="1"/>
        <v>0</v>
      </c>
      <c r="G670" s="1" t="str">
        <f>IF(A670 = "", "", COUNTIF('Game Record'!G:G, A670))</f>
        <v/>
      </c>
      <c r="H670" s="6" t="str">
        <f>IF(A670 = "", "", COUNTIF('Game Record'!H:H, A670))</f>
        <v/>
      </c>
      <c r="I670" s="2">
        <f>IFERROR(__xludf.DUMMYFUNCTION("SUM(FILTER(TeamARecordSet, INDEX(TeamARecordSet, 0, 1) = A670)) + SUM(FILTER(TeamBRecordSet, INDEX(TeamBRecordSet, 0, 1) = A670))"),0.0)</f>
        <v>0</v>
      </c>
      <c r="J670" s="2">
        <f t="shared" si="2"/>
        <v>0</v>
      </c>
      <c r="K670" s="2" t="str">
        <f t="shared" si="3"/>
        <v/>
      </c>
    </row>
    <row r="671">
      <c r="A671" s="2"/>
      <c r="B671" s="7"/>
      <c r="D671" s="5" t="str">
        <f>IF(A671 = "", "", COUNTIFS('Game Record'!G:G, A671, 'Game Record'!E:E, C671))</f>
        <v/>
      </c>
      <c r="E671" s="6" t="str">
        <f>IF(A671 = "", "", COUNTIFS('Game Record'!H:H, A671, 'Game Record'!E:E, C671))</f>
        <v/>
      </c>
      <c r="F671" s="2">
        <f t="shared" si="1"/>
        <v>0</v>
      </c>
      <c r="G671" s="1" t="str">
        <f>IF(A671 = "", "", COUNTIF('Game Record'!G:G, A671))</f>
        <v/>
      </c>
      <c r="H671" s="6" t="str">
        <f>IF(A671 = "", "", COUNTIF('Game Record'!H:H, A671))</f>
        <v/>
      </c>
      <c r="I671" s="2">
        <f>IFERROR(__xludf.DUMMYFUNCTION("SUM(FILTER(TeamARecordSet, INDEX(TeamARecordSet, 0, 1) = A671)) + SUM(FILTER(TeamBRecordSet, INDEX(TeamBRecordSet, 0, 1) = A671))"),0.0)</f>
        <v>0</v>
      </c>
      <c r="J671" s="2">
        <f t="shared" si="2"/>
        <v>0</v>
      </c>
      <c r="K671" s="2" t="str">
        <f t="shared" si="3"/>
        <v/>
      </c>
    </row>
    <row r="672">
      <c r="A672" s="2"/>
      <c r="B672" s="7"/>
      <c r="D672" s="5" t="str">
        <f>IF(A672 = "", "", COUNTIFS('Game Record'!G:G, A672, 'Game Record'!E:E, C672))</f>
        <v/>
      </c>
      <c r="E672" s="6" t="str">
        <f>IF(A672 = "", "", COUNTIFS('Game Record'!H:H, A672, 'Game Record'!E:E, C672))</f>
        <v/>
      </c>
      <c r="F672" s="2">
        <f t="shared" si="1"/>
        <v>0</v>
      </c>
      <c r="G672" s="1" t="str">
        <f>IF(A672 = "", "", COUNTIF('Game Record'!G:G, A672))</f>
        <v/>
      </c>
      <c r="H672" s="6" t="str">
        <f>IF(A672 = "", "", COUNTIF('Game Record'!H:H, A672))</f>
        <v/>
      </c>
      <c r="I672" s="2">
        <f>IFERROR(__xludf.DUMMYFUNCTION("SUM(FILTER(TeamARecordSet, INDEX(TeamARecordSet, 0, 1) = A672)) + SUM(FILTER(TeamBRecordSet, INDEX(TeamBRecordSet, 0, 1) = A672))"),0.0)</f>
        <v>0</v>
      </c>
      <c r="J672" s="2">
        <f t="shared" si="2"/>
        <v>0</v>
      </c>
      <c r="K672" s="2" t="str">
        <f t="shared" si="3"/>
        <v/>
      </c>
    </row>
    <row r="673">
      <c r="A673" s="2"/>
      <c r="B673" s="7"/>
      <c r="D673" s="5" t="str">
        <f>IF(A673 = "", "", COUNTIFS('Game Record'!G:G, A673, 'Game Record'!E:E, C673))</f>
        <v/>
      </c>
      <c r="E673" s="6" t="str">
        <f>IF(A673 = "", "", COUNTIFS('Game Record'!H:H, A673, 'Game Record'!E:E, C673))</f>
        <v/>
      </c>
      <c r="F673" s="2">
        <f t="shared" si="1"/>
        <v>0</v>
      </c>
      <c r="G673" s="1" t="str">
        <f>IF(A673 = "", "", COUNTIF('Game Record'!G:G, A673))</f>
        <v/>
      </c>
      <c r="H673" s="6" t="str">
        <f>IF(A673 = "", "", COUNTIF('Game Record'!H:H, A673))</f>
        <v/>
      </c>
      <c r="I673" s="2">
        <f>IFERROR(__xludf.DUMMYFUNCTION("SUM(FILTER(TeamARecordSet, INDEX(TeamARecordSet, 0, 1) = A673)) + SUM(FILTER(TeamBRecordSet, INDEX(TeamBRecordSet, 0, 1) = A673))"),0.0)</f>
        <v>0</v>
      </c>
      <c r="J673" s="2">
        <f t="shared" si="2"/>
        <v>0</v>
      </c>
      <c r="K673" s="2" t="str">
        <f t="shared" si="3"/>
        <v/>
      </c>
    </row>
    <row r="674">
      <c r="A674" s="2"/>
      <c r="B674" s="7"/>
      <c r="D674" s="5" t="str">
        <f>IF(A674 = "", "", COUNTIFS('Game Record'!G:G, A674, 'Game Record'!E:E, C674))</f>
        <v/>
      </c>
      <c r="E674" s="6" t="str">
        <f>IF(A674 = "", "", COUNTIFS('Game Record'!H:H, A674, 'Game Record'!E:E, C674))</f>
        <v/>
      </c>
      <c r="F674" s="2">
        <f t="shared" si="1"/>
        <v>0</v>
      </c>
      <c r="G674" s="1" t="str">
        <f>IF(A674 = "", "", COUNTIF('Game Record'!G:G, A674))</f>
        <v/>
      </c>
      <c r="H674" s="6" t="str">
        <f>IF(A674 = "", "", COUNTIF('Game Record'!H:H, A674))</f>
        <v/>
      </c>
      <c r="I674" s="2">
        <f>IFERROR(__xludf.DUMMYFUNCTION("SUM(FILTER(TeamARecordSet, INDEX(TeamARecordSet, 0, 1) = A674)) + SUM(FILTER(TeamBRecordSet, INDEX(TeamBRecordSet, 0, 1) = A674))"),0.0)</f>
        <v>0</v>
      </c>
      <c r="J674" s="2">
        <f t="shared" si="2"/>
        <v>0</v>
      </c>
      <c r="K674" s="2" t="str">
        <f t="shared" si="3"/>
        <v/>
      </c>
    </row>
    <row r="675">
      <c r="A675" s="2"/>
      <c r="B675" s="7"/>
      <c r="D675" s="5" t="str">
        <f>IF(A675 = "", "", COUNTIFS('Game Record'!G:G, A675, 'Game Record'!E:E, C675))</f>
        <v/>
      </c>
      <c r="E675" s="6" t="str">
        <f>IF(A675 = "", "", COUNTIFS('Game Record'!H:H, A675, 'Game Record'!E:E, C675))</f>
        <v/>
      </c>
      <c r="F675" s="2">
        <f t="shared" si="1"/>
        <v>0</v>
      </c>
      <c r="G675" s="1" t="str">
        <f>IF(A675 = "", "", COUNTIF('Game Record'!G:G, A675))</f>
        <v/>
      </c>
      <c r="H675" s="6" t="str">
        <f>IF(A675 = "", "", COUNTIF('Game Record'!H:H, A675))</f>
        <v/>
      </c>
      <c r="I675" s="2">
        <f>IFERROR(__xludf.DUMMYFUNCTION("SUM(FILTER(TeamARecordSet, INDEX(TeamARecordSet, 0, 1) = A675)) + SUM(FILTER(TeamBRecordSet, INDEX(TeamBRecordSet, 0, 1) = A675))"),0.0)</f>
        <v>0</v>
      </c>
      <c r="J675" s="2">
        <f t="shared" si="2"/>
        <v>0</v>
      </c>
      <c r="K675" s="2" t="str">
        <f t="shared" si="3"/>
        <v/>
      </c>
    </row>
    <row r="676">
      <c r="A676" s="2"/>
      <c r="B676" s="7"/>
      <c r="D676" s="5" t="str">
        <f>IF(A676 = "", "", COUNTIFS('Game Record'!G:G, A676, 'Game Record'!E:E, C676))</f>
        <v/>
      </c>
      <c r="E676" s="6" t="str">
        <f>IF(A676 = "", "", COUNTIFS('Game Record'!H:H, A676, 'Game Record'!E:E, C676))</f>
        <v/>
      </c>
      <c r="F676" s="2">
        <f t="shared" si="1"/>
        <v>0</v>
      </c>
      <c r="G676" s="1" t="str">
        <f>IF(A676 = "", "", COUNTIF('Game Record'!G:G, A676))</f>
        <v/>
      </c>
      <c r="H676" s="6" t="str">
        <f>IF(A676 = "", "", COUNTIF('Game Record'!H:H, A676))</f>
        <v/>
      </c>
      <c r="I676" s="2">
        <f>IFERROR(__xludf.DUMMYFUNCTION("SUM(FILTER(TeamARecordSet, INDEX(TeamARecordSet, 0, 1) = A676)) + SUM(FILTER(TeamBRecordSet, INDEX(TeamBRecordSet, 0, 1) = A676))"),0.0)</f>
        <v>0</v>
      </c>
      <c r="J676" s="2">
        <f t="shared" si="2"/>
        <v>0</v>
      </c>
      <c r="K676" s="2" t="str">
        <f t="shared" si="3"/>
        <v/>
      </c>
    </row>
    <row r="677">
      <c r="A677" s="2"/>
      <c r="B677" s="7"/>
      <c r="D677" s="5" t="str">
        <f>IF(A677 = "", "", COUNTIFS('Game Record'!G:G, A677, 'Game Record'!E:E, C677))</f>
        <v/>
      </c>
      <c r="E677" s="6" t="str">
        <f>IF(A677 = "", "", COUNTIFS('Game Record'!H:H, A677, 'Game Record'!E:E, C677))</f>
        <v/>
      </c>
      <c r="F677" s="2">
        <f t="shared" si="1"/>
        <v>0</v>
      </c>
      <c r="G677" s="1" t="str">
        <f>IF(A677 = "", "", COUNTIF('Game Record'!G:G, A677))</f>
        <v/>
      </c>
      <c r="H677" s="6" t="str">
        <f>IF(A677 = "", "", COUNTIF('Game Record'!H:H, A677))</f>
        <v/>
      </c>
      <c r="I677" s="2">
        <f>IFERROR(__xludf.DUMMYFUNCTION("SUM(FILTER(TeamARecordSet, INDEX(TeamARecordSet, 0, 1) = A677)) + SUM(FILTER(TeamBRecordSet, INDEX(TeamBRecordSet, 0, 1) = A677))"),0.0)</f>
        <v>0</v>
      </c>
      <c r="J677" s="2">
        <f t="shared" si="2"/>
        <v>0</v>
      </c>
      <c r="K677" s="2" t="str">
        <f t="shared" si="3"/>
        <v/>
      </c>
    </row>
    <row r="678">
      <c r="A678" s="2"/>
      <c r="B678" s="7"/>
      <c r="D678" s="5" t="str">
        <f>IF(A678 = "", "", COUNTIFS('Game Record'!G:G, A678, 'Game Record'!E:E, C678))</f>
        <v/>
      </c>
      <c r="E678" s="6" t="str">
        <f>IF(A678 = "", "", COUNTIFS('Game Record'!H:H, A678, 'Game Record'!E:E, C678))</f>
        <v/>
      </c>
      <c r="F678" s="2">
        <f t="shared" si="1"/>
        <v>0</v>
      </c>
      <c r="G678" s="1" t="str">
        <f>IF(A678 = "", "", COUNTIF('Game Record'!G:G, A678))</f>
        <v/>
      </c>
      <c r="H678" s="6" t="str">
        <f>IF(A678 = "", "", COUNTIF('Game Record'!H:H, A678))</f>
        <v/>
      </c>
      <c r="I678" s="2">
        <f>IFERROR(__xludf.DUMMYFUNCTION("SUM(FILTER(TeamARecordSet, INDEX(TeamARecordSet, 0, 1) = A678)) + SUM(FILTER(TeamBRecordSet, INDEX(TeamBRecordSet, 0, 1) = A678))"),0.0)</f>
        <v>0</v>
      </c>
      <c r="J678" s="2">
        <f t="shared" si="2"/>
        <v>0</v>
      </c>
      <c r="K678" s="2" t="str">
        <f t="shared" si="3"/>
        <v/>
      </c>
    </row>
    <row r="679">
      <c r="A679" s="2"/>
      <c r="B679" s="7"/>
      <c r="D679" s="5" t="str">
        <f>IF(A679 = "", "", COUNTIFS('Game Record'!G:G, A679, 'Game Record'!E:E, C679))</f>
        <v/>
      </c>
      <c r="E679" s="6" t="str">
        <f>IF(A679 = "", "", COUNTIFS('Game Record'!H:H, A679, 'Game Record'!E:E, C679))</f>
        <v/>
      </c>
      <c r="F679" s="2">
        <f t="shared" si="1"/>
        <v>0</v>
      </c>
      <c r="G679" s="1" t="str">
        <f>IF(A679 = "", "", COUNTIF('Game Record'!G:G, A679))</f>
        <v/>
      </c>
      <c r="H679" s="6" t="str">
        <f>IF(A679 = "", "", COUNTIF('Game Record'!H:H, A679))</f>
        <v/>
      </c>
      <c r="I679" s="2">
        <f>IFERROR(__xludf.DUMMYFUNCTION("SUM(FILTER(TeamARecordSet, INDEX(TeamARecordSet, 0, 1) = A679)) + SUM(FILTER(TeamBRecordSet, INDEX(TeamBRecordSet, 0, 1) = A679))"),0.0)</f>
        <v>0</v>
      </c>
      <c r="J679" s="2">
        <f t="shared" si="2"/>
        <v>0</v>
      </c>
      <c r="K679" s="2" t="str">
        <f t="shared" si="3"/>
        <v/>
      </c>
    </row>
    <row r="680">
      <c r="A680" s="2"/>
      <c r="B680" s="7"/>
      <c r="D680" s="5" t="str">
        <f>IF(A680 = "", "", COUNTIFS('Game Record'!G:G, A680, 'Game Record'!E:E, C680))</f>
        <v/>
      </c>
      <c r="E680" s="6" t="str">
        <f>IF(A680 = "", "", COUNTIFS('Game Record'!H:H, A680, 'Game Record'!E:E, C680))</f>
        <v/>
      </c>
      <c r="F680" s="2">
        <f t="shared" si="1"/>
        <v>0</v>
      </c>
      <c r="G680" s="1" t="str">
        <f>IF(A680 = "", "", COUNTIF('Game Record'!G:G, A680))</f>
        <v/>
      </c>
      <c r="H680" s="6" t="str">
        <f>IF(A680 = "", "", COUNTIF('Game Record'!H:H, A680))</f>
        <v/>
      </c>
      <c r="I680" s="2">
        <f>IFERROR(__xludf.DUMMYFUNCTION("SUM(FILTER(TeamARecordSet, INDEX(TeamARecordSet, 0, 1) = A680)) + SUM(FILTER(TeamBRecordSet, INDEX(TeamBRecordSet, 0, 1) = A680))"),0.0)</f>
        <v>0</v>
      </c>
      <c r="J680" s="2">
        <f t="shared" si="2"/>
        <v>0</v>
      </c>
      <c r="K680" s="2" t="str">
        <f t="shared" si="3"/>
        <v/>
      </c>
    </row>
    <row r="681">
      <c r="A681" s="2"/>
      <c r="B681" s="7"/>
      <c r="D681" s="5" t="str">
        <f>IF(A681 = "", "", COUNTIFS('Game Record'!G:G, A681, 'Game Record'!E:E, C681))</f>
        <v/>
      </c>
      <c r="E681" s="6" t="str">
        <f>IF(A681 = "", "", COUNTIFS('Game Record'!H:H, A681, 'Game Record'!E:E, C681))</f>
        <v/>
      </c>
      <c r="F681" s="2">
        <f t="shared" si="1"/>
        <v>0</v>
      </c>
      <c r="G681" s="1" t="str">
        <f>IF(A681 = "", "", COUNTIF('Game Record'!G:G, A681))</f>
        <v/>
      </c>
      <c r="H681" s="6" t="str">
        <f>IF(A681 = "", "", COUNTIF('Game Record'!H:H, A681))</f>
        <v/>
      </c>
      <c r="I681" s="2">
        <f>IFERROR(__xludf.DUMMYFUNCTION("SUM(FILTER(TeamARecordSet, INDEX(TeamARecordSet, 0, 1) = A681)) + SUM(FILTER(TeamBRecordSet, INDEX(TeamBRecordSet, 0, 1) = A681))"),0.0)</f>
        <v>0</v>
      </c>
      <c r="J681" s="2">
        <f t="shared" si="2"/>
        <v>0</v>
      </c>
      <c r="K681" s="2" t="str">
        <f t="shared" si="3"/>
        <v/>
      </c>
    </row>
    <row r="682">
      <c r="A682" s="2"/>
      <c r="B682" s="7"/>
      <c r="D682" s="5" t="str">
        <f>IF(A682 = "", "", COUNTIFS('Game Record'!G:G, A682, 'Game Record'!E:E, C682))</f>
        <v/>
      </c>
      <c r="E682" s="6" t="str">
        <f>IF(A682 = "", "", COUNTIFS('Game Record'!H:H, A682, 'Game Record'!E:E, C682))</f>
        <v/>
      </c>
      <c r="F682" s="2">
        <f t="shared" si="1"/>
        <v>0</v>
      </c>
      <c r="G682" s="1" t="str">
        <f>IF(A682 = "", "", COUNTIF('Game Record'!G:G, A682))</f>
        <v/>
      </c>
      <c r="H682" s="6" t="str">
        <f>IF(A682 = "", "", COUNTIF('Game Record'!H:H, A682))</f>
        <v/>
      </c>
      <c r="I682" s="2">
        <f>IFERROR(__xludf.DUMMYFUNCTION("SUM(FILTER(TeamARecordSet, INDEX(TeamARecordSet, 0, 1) = A682)) + SUM(FILTER(TeamBRecordSet, INDEX(TeamBRecordSet, 0, 1) = A682))"),0.0)</f>
        <v>0</v>
      </c>
      <c r="J682" s="2">
        <f t="shared" si="2"/>
        <v>0</v>
      </c>
      <c r="K682" s="2" t="str">
        <f t="shared" si="3"/>
        <v/>
      </c>
    </row>
    <row r="683">
      <c r="A683" s="2"/>
      <c r="B683" s="7"/>
      <c r="D683" s="5" t="str">
        <f>IF(A683 = "", "", COUNTIFS('Game Record'!G:G, A683, 'Game Record'!E:E, C683))</f>
        <v/>
      </c>
      <c r="E683" s="6" t="str">
        <f>IF(A683 = "", "", COUNTIFS('Game Record'!H:H, A683, 'Game Record'!E:E, C683))</f>
        <v/>
      </c>
      <c r="F683" s="2">
        <f t="shared" si="1"/>
        <v>0</v>
      </c>
      <c r="G683" s="1" t="str">
        <f>IF(A683 = "", "", COUNTIF('Game Record'!G:G, A683))</f>
        <v/>
      </c>
      <c r="H683" s="6" t="str">
        <f>IF(A683 = "", "", COUNTIF('Game Record'!H:H, A683))</f>
        <v/>
      </c>
      <c r="I683" s="2">
        <f>IFERROR(__xludf.DUMMYFUNCTION("SUM(FILTER(TeamARecordSet, INDEX(TeamARecordSet, 0, 1) = A683)) + SUM(FILTER(TeamBRecordSet, INDEX(TeamBRecordSet, 0, 1) = A683))"),0.0)</f>
        <v>0</v>
      </c>
      <c r="J683" s="2">
        <f t="shared" si="2"/>
        <v>0</v>
      </c>
      <c r="K683" s="2" t="str">
        <f t="shared" si="3"/>
        <v/>
      </c>
    </row>
    <row r="684">
      <c r="A684" s="2"/>
      <c r="B684" s="7"/>
      <c r="D684" s="5" t="str">
        <f>IF(A684 = "", "", COUNTIFS('Game Record'!G:G, A684, 'Game Record'!E:E, C684))</f>
        <v/>
      </c>
      <c r="E684" s="6" t="str">
        <f>IF(A684 = "", "", COUNTIFS('Game Record'!H:H, A684, 'Game Record'!E:E, C684))</f>
        <v/>
      </c>
      <c r="F684" s="2">
        <f t="shared" si="1"/>
        <v>0</v>
      </c>
      <c r="G684" s="1" t="str">
        <f>IF(A684 = "", "", COUNTIF('Game Record'!G:G, A684))</f>
        <v/>
      </c>
      <c r="H684" s="6" t="str">
        <f>IF(A684 = "", "", COUNTIF('Game Record'!H:H, A684))</f>
        <v/>
      </c>
      <c r="I684" s="2">
        <f>IFERROR(__xludf.DUMMYFUNCTION("SUM(FILTER(TeamARecordSet, INDEX(TeamARecordSet, 0, 1) = A684)) + SUM(FILTER(TeamBRecordSet, INDEX(TeamBRecordSet, 0, 1) = A684))"),0.0)</f>
        <v>0</v>
      </c>
      <c r="J684" s="2">
        <f t="shared" si="2"/>
        <v>0</v>
      </c>
      <c r="K684" s="2" t="str">
        <f t="shared" si="3"/>
        <v/>
      </c>
    </row>
    <row r="685">
      <c r="A685" s="2"/>
      <c r="B685" s="7"/>
      <c r="D685" s="5" t="str">
        <f>IF(A685 = "", "", COUNTIFS('Game Record'!G:G, A685, 'Game Record'!E:E, C685))</f>
        <v/>
      </c>
      <c r="E685" s="6" t="str">
        <f>IF(A685 = "", "", COUNTIFS('Game Record'!H:H, A685, 'Game Record'!E:E, C685))</f>
        <v/>
      </c>
      <c r="F685" s="2">
        <f t="shared" si="1"/>
        <v>0</v>
      </c>
      <c r="G685" s="1" t="str">
        <f>IF(A685 = "", "", COUNTIF('Game Record'!G:G, A685))</f>
        <v/>
      </c>
      <c r="H685" s="6" t="str">
        <f>IF(A685 = "", "", COUNTIF('Game Record'!H:H, A685))</f>
        <v/>
      </c>
      <c r="I685" s="2">
        <f>IFERROR(__xludf.DUMMYFUNCTION("SUM(FILTER(TeamARecordSet, INDEX(TeamARecordSet, 0, 1) = A685)) + SUM(FILTER(TeamBRecordSet, INDEX(TeamBRecordSet, 0, 1) = A685))"),0.0)</f>
        <v>0</v>
      </c>
      <c r="J685" s="2">
        <f t="shared" si="2"/>
        <v>0</v>
      </c>
      <c r="K685" s="2" t="str">
        <f t="shared" si="3"/>
        <v/>
      </c>
    </row>
    <row r="686">
      <c r="A686" s="2"/>
      <c r="B686" s="7"/>
      <c r="D686" s="5" t="str">
        <f>IF(A686 = "", "", COUNTIFS('Game Record'!G:G, A686, 'Game Record'!E:E, C686))</f>
        <v/>
      </c>
      <c r="E686" s="6" t="str">
        <f>IF(A686 = "", "", COUNTIFS('Game Record'!H:H, A686, 'Game Record'!E:E, C686))</f>
        <v/>
      </c>
      <c r="F686" s="2">
        <f t="shared" si="1"/>
        <v>0</v>
      </c>
      <c r="G686" s="1" t="str">
        <f>IF(A686 = "", "", COUNTIF('Game Record'!G:G, A686))</f>
        <v/>
      </c>
      <c r="H686" s="6" t="str">
        <f>IF(A686 = "", "", COUNTIF('Game Record'!H:H, A686))</f>
        <v/>
      </c>
      <c r="I686" s="2">
        <f>IFERROR(__xludf.DUMMYFUNCTION("SUM(FILTER(TeamARecordSet, INDEX(TeamARecordSet, 0, 1) = A686)) + SUM(FILTER(TeamBRecordSet, INDEX(TeamBRecordSet, 0, 1) = A686))"),0.0)</f>
        <v>0</v>
      </c>
      <c r="J686" s="2">
        <f t="shared" si="2"/>
        <v>0</v>
      </c>
      <c r="K686" s="2" t="str">
        <f t="shared" si="3"/>
        <v/>
      </c>
    </row>
    <row r="687">
      <c r="A687" s="2"/>
      <c r="B687" s="7"/>
      <c r="D687" s="5" t="str">
        <f>IF(A687 = "", "", COUNTIFS('Game Record'!G:G, A687, 'Game Record'!E:E, C687))</f>
        <v/>
      </c>
      <c r="E687" s="6" t="str">
        <f>IF(A687 = "", "", COUNTIFS('Game Record'!H:H, A687, 'Game Record'!E:E, C687))</f>
        <v/>
      </c>
      <c r="F687" s="2">
        <f t="shared" si="1"/>
        <v>0</v>
      </c>
      <c r="G687" s="1" t="str">
        <f>IF(A687 = "", "", COUNTIF('Game Record'!G:G, A687))</f>
        <v/>
      </c>
      <c r="H687" s="6" t="str">
        <f>IF(A687 = "", "", COUNTIF('Game Record'!H:H, A687))</f>
        <v/>
      </c>
      <c r="I687" s="2">
        <f>IFERROR(__xludf.DUMMYFUNCTION("SUM(FILTER(TeamARecordSet, INDEX(TeamARecordSet, 0, 1) = A687)) + SUM(FILTER(TeamBRecordSet, INDEX(TeamBRecordSet, 0, 1) = A687))"),0.0)</f>
        <v>0</v>
      </c>
      <c r="J687" s="2">
        <f t="shared" si="2"/>
        <v>0</v>
      </c>
      <c r="K687" s="2" t="str">
        <f t="shared" si="3"/>
        <v/>
      </c>
    </row>
    <row r="688">
      <c r="A688" s="2"/>
      <c r="B688" s="7"/>
      <c r="D688" s="5" t="str">
        <f>IF(A688 = "", "", COUNTIFS('Game Record'!G:G, A688, 'Game Record'!E:E, C688))</f>
        <v/>
      </c>
      <c r="E688" s="6" t="str">
        <f>IF(A688 = "", "", COUNTIFS('Game Record'!H:H, A688, 'Game Record'!E:E, C688))</f>
        <v/>
      </c>
      <c r="F688" s="2">
        <f t="shared" si="1"/>
        <v>0</v>
      </c>
      <c r="G688" s="1" t="str">
        <f>IF(A688 = "", "", COUNTIF('Game Record'!G:G, A688))</f>
        <v/>
      </c>
      <c r="H688" s="6" t="str">
        <f>IF(A688 = "", "", COUNTIF('Game Record'!H:H, A688))</f>
        <v/>
      </c>
      <c r="I688" s="2">
        <f>IFERROR(__xludf.DUMMYFUNCTION("SUM(FILTER(TeamARecordSet, INDEX(TeamARecordSet, 0, 1) = A688)) + SUM(FILTER(TeamBRecordSet, INDEX(TeamBRecordSet, 0, 1) = A688))"),0.0)</f>
        <v>0</v>
      </c>
      <c r="J688" s="2">
        <f t="shared" si="2"/>
        <v>0</v>
      </c>
      <c r="K688" s="2" t="str">
        <f t="shared" si="3"/>
        <v/>
      </c>
    </row>
    <row r="689">
      <c r="A689" s="2"/>
      <c r="B689" s="7"/>
      <c r="D689" s="5" t="str">
        <f>IF(A689 = "", "", COUNTIFS('Game Record'!G:G, A689, 'Game Record'!E:E, C689))</f>
        <v/>
      </c>
      <c r="E689" s="6" t="str">
        <f>IF(A689 = "", "", COUNTIFS('Game Record'!H:H, A689, 'Game Record'!E:E, C689))</f>
        <v/>
      </c>
      <c r="F689" s="2">
        <f t="shared" si="1"/>
        <v>0</v>
      </c>
      <c r="G689" s="1" t="str">
        <f>IF(A689 = "", "", COUNTIF('Game Record'!G:G, A689))</f>
        <v/>
      </c>
      <c r="H689" s="6" t="str">
        <f>IF(A689 = "", "", COUNTIF('Game Record'!H:H, A689))</f>
        <v/>
      </c>
      <c r="I689" s="2">
        <f>IFERROR(__xludf.DUMMYFUNCTION("SUM(FILTER(TeamARecordSet, INDEX(TeamARecordSet, 0, 1) = A689)) + SUM(FILTER(TeamBRecordSet, INDEX(TeamBRecordSet, 0, 1) = A689))"),0.0)</f>
        <v>0</v>
      </c>
      <c r="J689" s="2">
        <f t="shared" si="2"/>
        <v>0</v>
      </c>
      <c r="K689" s="2" t="str">
        <f t="shared" si="3"/>
        <v/>
      </c>
    </row>
    <row r="690">
      <c r="A690" s="2"/>
      <c r="B690" s="7"/>
      <c r="D690" s="5" t="str">
        <f>IF(A690 = "", "", COUNTIFS('Game Record'!G:G, A690, 'Game Record'!E:E, C690))</f>
        <v/>
      </c>
      <c r="E690" s="6" t="str">
        <f>IF(A690 = "", "", COUNTIFS('Game Record'!H:H, A690, 'Game Record'!E:E, C690))</f>
        <v/>
      </c>
      <c r="F690" s="2">
        <f t="shared" si="1"/>
        <v>0</v>
      </c>
      <c r="G690" s="1" t="str">
        <f>IF(A690 = "", "", COUNTIF('Game Record'!G:G, A690))</f>
        <v/>
      </c>
      <c r="H690" s="6" t="str">
        <f>IF(A690 = "", "", COUNTIF('Game Record'!H:H, A690))</f>
        <v/>
      </c>
      <c r="I690" s="2">
        <f>IFERROR(__xludf.DUMMYFUNCTION("SUM(FILTER(TeamARecordSet, INDEX(TeamARecordSet, 0, 1) = A690)) + SUM(FILTER(TeamBRecordSet, INDEX(TeamBRecordSet, 0, 1) = A690))"),0.0)</f>
        <v>0</v>
      </c>
      <c r="J690" s="2">
        <f t="shared" si="2"/>
        <v>0</v>
      </c>
      <c r="K690" s="2" t="str">
        <f t="shared" si="3"/>
        <v/>
      </c>
    </row>
    <row r="691">
      <c r="A691" s="2"/>
      <c r="B691" s="7"/>
      <c r="D691" s="5" t="str">
        <f>IF(A691 = "", "", COUNTIFS('Game Record'!G:G, A691, 'Game Record'!E:E, C691))</f>
        <v/>
      </c>
      <c r="E691" s="6" t="str">
        <f>IF(A691 = "", "", COUNTIFS('Game Record'!H:H, A691, 'Game Record'!E:E, C691))</f>
        <v/>
      </c>
      <c r="F691" s="2">
        <f t="shared" si="1"/>
        <v>0</v>
      </c>
      <c r="G691" s="1" t="str">
        <f>IF(A691 = "", "", COUNTIF('Game Record'!G:G, A691))</f>
        <v/>
      </c>
      <c r="H691" s="6" t="str">
        <f>IF(A691 = "", "", COUNTIF('Game Record'!H:H, A691))</f>
        <v/>
      </c>
      <c r="I691" s="2">
        <f>IFERROR(__xludf.DUMMYFUNCTION("SUM(FILTER(TeamARecordSet, INDEX(TeamARecordSet, 0, 1) = A691)) + SUM(FILTER(TeamBRecordSet, INDEX(TeamBRecordSet, 0, 1) = A691))"),0.0)</f>
        <v>0</v>
      </c>
      <c r="J691" s="2">
        <f t="shared" si="2"/>
        <v>0</v>
      </c>
      <c r="K691" s="2" t="str">
        <f t="shared" si="3"/>
        <v/>
      </c>
    </row>
    <row r="692">
      <c r="A692" s="2"/>
      <c r="B692" s="7"/>
      <c r="D692" s="5" t="str">
        <f>IF(A692 = "", "", COUNTIFS('Game Record'!G:G, A692, 'Game Record'!E:E, C692))</f>
        <v/>
      </c>
      <c r="E692" s="6" t="str">
        <f>IF(A692 = "", "", COUNTIFS('Game Record'!H:H, A692, 'Game Record'!E:E, C692))</f>
        <v/>
      </c>
      <c r="F692" s="2">
        <f t="shared" si="1"/>
        <v>0</v>
      </c>
      <c r="G692" s="1" t="str">
        <f>IF(A692 = "", "", COUNTIF('Game Record'!G:G, A692))</f>
        <v/>
      </c>
      <c r="H692" s="6" t="str">
        <f>IF(A692 = "", "", COUNTIF('Game Record'!H:H, A692))</f>
        <v/>
      </c>
      <c r="I692" s="2">
        <f>IFERROR(__xludf.DUMMYFUNCTION("SUM(FILTER(TeamARecordSet, INDEX(TeamARecordSet, 0, 1) = A692)) + SUM(FILTER(TeamBRecordSet, INDEX(TeamBRecordSet, 0, 1) = A692))"),0.0)</f>
        <v>0</v>
      </c>
      <c r="J692" s="2">
        <f t="shared" si="2"/>
        <v>0</v>
      </c>
      <c r="K692" s="2" t="str">
        <f t="shared" si="3"/>
        <v/>
      </c>
    </row>
    <row r="693">
      <c r="A693" s="2"/>
      <c r="B693" s="7"/>
      <c r="D693" s="5" t="str">
        <f>IF(A693 = "", "", COUNTIFS('Game Record'!G:G, A693, 'Game Record'!E:E, C693))</f>
        <v/>
      </c>
      <c r="E693" s="6" t="str">
        <f>IF(A693 = "", "", COUNTIFS('Game Record'!H:H, A693, 'Game Record'!E:E, C693))</f>
        <v/>
      </c>
      <c r="F693" s="2">
        <f t="shared" si="1"/>
        <v>0</v>
      </c>
      <c r="G693" s="1" t="str">
        <f>IF(A693 = "", "", COUNTIF('Game Record'!G:G, A693))</f>
        <v/>
      </c>
      <c r="H693" s="6" t="str">
        <f>IF(A693 = "", "", COUNTIF('Game Record'!H:H, A693))</f>
        <v/>
      </c>
      <c r="I693" s="2">
        <f>IFERROR(__xludf.DUMMYFUNCTION("SUM(FILTER(TeamARecordSet, INDEX(TeamARecordSet, 0, 1) = A693)) + SUM(FILTER(TeamBRecordSet, INDEX(TeamBRecordSet, 0, 1) = A693))"),0.0)</f>
        <v>0</v>
      </c>
      <c r="J693" s="2">
        <f t="shared" si="2"/>
        <v>0</v>
      </c>
      <c r="K693" s="2" t="str">
        <f t="shared" si="3"/>
        <v/>
      </c>
    </row>
    <row r="694">
      <c r="A694" s="2"/>
      <c r="B694" s="7"/>
      <c r="D694" s="5" t="str">
        <f>IF(A694 = "", "", COUNTIFS('Game Record'!G:G, A694, 'Game Record'!E:E, C694))</f>
        <v/>
      </c>
      <c r="E694" s="6" t="str">
        <f>IF(A694 = "", "", COUNTIFS('Game Record'!H:H, A694, 'Game Record'!E:E, C694))</f>
        <v/>
      </c>
      <c r="F694" s="2">
        <f t="shared" si="1"/>
        <v>0</v>
      </c>
      <c r="G694" s="1" t="str">
        <f>IF(A694 = "", "", COUNTIF('Game Record'!G:G, A694))</f>
        <v/>
      </c>
      <c r="H694" s="6" t="str">
        <f>IF(A694 = "", "", COUNTIF('Game Record'!H:H, A694))</f>
        <v/>
      </c>
      <c r="I694" s="2">
        <f>IFERROR(__xludf.DUMMYFUNCTION("SUM(FILTER(TeamARecordSet, INDEX(TeamARecordSet, 0, 1) = A694)) + SUM(FILTER(TeamBRecordSet, INDEX(TeamBRecordSet, 0, 1) = A694))"),0.0)</f>
        <v>0</v>
      </c>
      <c r="J694" s="2">
        <f t="shared" si="2"/>
        <v>0</v>
      </c>
      <c r="K694" s="2" t="str">
        <f t="shared" si="3"/>
        <v/>
      </c>
    </row>
    <row r="695">
      <c r="A695" s="2"/>
      <c r="B695" s="7"/>
      <c r="D695" s="5" t="str">
        <f>IF(A695 = "", "", COUNTIFS('Game Record'!G:G, A695, 'Game Record'!E:E, C695))</f>
        <v/>
      </c>
      <c r="E695" s="6" t="str">
        <f>IF(A695 = "", "", COUNTIFS('Game Record'!H:H, A695, 'Game Record'!E:E, C695))</f>
        <v/>
      </c>
      <c r="F695" s="2">
        <f t="shared" si="1"/>
        <v>0</v>
      </c>
      <c r="G695" s="1" t="str">
        <f>IF(A695 = "", "", COUNTIF('Game Record'!G:G, A695))</f>
        <v/>
      </c>
      <c r="H695" s="6" t="str">
        <f>IF(A695 = "", "", COUNTIF('Game Record'!H:H, A695))</f>
        <v/>
      </c>
      <c r="I695" s="2">
        <f>IFERROR(__xludf.DUMMYFUNCTION("SUM(FILTER(TeamARecordSet, INDEX(TeamARecordSet, 0, 1) = A695)) + SUM(FILTER(TeamBRecordSet, INDEX(TeamBRecordSet, 0, 1) = A695))"),0.0)</f>
        <v>0</v>
      </c>
      <c r="J695" s="2">
        <f t="shared" si="2"/>
        <v>0</v>
      </c>
      <c r="K695" s="2" t="str">
        <f t="shared" si="3"/>
        <v/>
      </c>
    </row>
    <row r="696">
      <c r="A696" s="2"/>
      <c r="B696" s="7"/>
      <c r="D696" s="5" t="str">
        <f>IF(A696 = "", "", COUNTIFS('Game Record'!G:G, A696, 'Game Record'!E:E, C696))</f>
        <v/>
      </c>
      <c r="E696" s="6" t="str">
        <f>IF(A696 = "", "", COUNTIFS('Game Record'!H:H, A696, 'Game Record'!E:E, C696))</f>
        <v/>
      </c>
      <c r="F696" s="2">
        <f t="shared" si="1"/>
        <v>0</v>
      </c>
      <c r="G696" s="1" t="str">
        <f>IF(A696 = "", "", COUNTIF('Game Record'!G:G, A696))</f>
        <v/>
      </c>
      <c r="H696" s="6" t="str">
        <f>IF(A696 = "", "", COUNTIF('Game Record'!H:H, A696))</f>
        <v/>
      </c>
      <c r="I696" s="2">
        <f>IFERROR(__xludf.DUMMYFUNCTION("SUM(FILTER(TeamARecordSet, INDEX(TeamARecordSet, 0, 1) = A696)) + SUM(FILTER(TeamBRecordSet, INDEX(TeamBRecordSet, 0, 1) = A696))"),0.0)</f>
        <v>0</v>
      </c>
      <c r="J696" s="2">
        <f t="shared" si="2"/>
        <v>0</v>
      </c>
      <c r="K696" s="2" t="str">
        <f t="shared" si="3"/>
        <v/>
      </c>
    </row>
    <row r="697">
      <c r="A697" s="2"/>
      <c r="B697" s="7"/>
      <c r="D697" s="5" t="str">
        <f>IF(A697 = "", "", COUNTIFS('Game Record'!G:G, A697, 'Game Record'!E:E, C697))</f>
        <v/>
      </c>
      <c r="E697" s="6" t="str">
        <f>IF(A697 = "", "", COUNTIFS('Game Record'!H:H, A697, 'Game Record'!E:E, C697))</f>
        <v/>
      </c>
      <c r="F697" s="2">
        <f t="shared" si="1"/>
        <v>0</v>
      </c>
      <c r="G697" s="1" t="str">
        <f>IF(A697 = "", "", COUNTIF('Game Record'!G:G, A697))</f>
        <v/>
      </c>
      <c r="H697" s="6" t="str">
        <f>IF(A697 = "", "", COUNTIF('Game Record'!H:H, A697))</f>
        <v/>
      </c>
      <c r="I697" s="2">
        <f>IFERROR(__xludf.DUMMYFUNCTION("SUM(FILTER(TeamARecordSet, INDEX(TeamARecordSet, 0, 1) = A697)) + SUM(FILTER(TeamBRecordSet, INDEX(TeamBRecordSet, 0, 1) = A697))"),0.0)</f>
        <v>0</v>
      </c>
      <c r="J697" s="2">
        <f t="shared" si="2"/>
        <v>0</v>
      </c>
      <c r="K697" s="2" t="str">
        <f t="shared" si="3"/>
        <v/>
      </c>
    </row>
    <row r="698">
      <c r="A698" s="2"/>
      <c r="B698" s="7"/>
      <c r="D698" s="5" t="str">
        <f>IF(A698 = "", "", COUNTIFS('Game Record'!G:G, A698, 'Game Record'!E:E, C698))</f>
        <v/>
      </c>
      <c r="E698" s="6" t="str">
        <f>IF(A698 = "", "", COUNTIFS('Game Record'!H:H, A698, 'Game Record'!E:E, C698))</f>
        <v/>
      </c>
      <c r="F698" s="2">
        <f t="shared" si="1"/>
        <v>0</v>
      </c>
      <c r="G698" s="1" t="str">
        <f>IF(A698 = "", "", COUNTIF('Game Record'!G:G, A698))</f>
        <v/>
      </c>
      <c r="H698" s="6" t="str">
        <f>IF(A698 = "", "", COUNTIF('Game Record'!H:H, A698))</f>
        <v/>
      </c>
      <c r="I698" s="2">
        <f>IFERROR(__xludf.DUMMYFUNCTION("SUM(FILTER(TeamARecordSet, INDEX(TeamARecordSet, 0, 1) = A698)) + SUM(FILTER(TeamBRecordSet, INDEX(TeamBRecordSet, 0, 1) = A698))"),0.0)</f>
        <v>0</v>
      </c>
      <c r="J698" s="2">
        <f t="shared" si="2"/>
        <v>0</v>
      </c>
      <c r="K698" s="2" t="str">
        <f t="shared" si="3"/>
        <v/>
      </c>
    </row>
    <row r="699">
      <c r="A699" s="2"/>
      <c r="B699" s="7"/>
      <c r="D699" s="5" t="str">
        <f>IF(A699 = "", "", COUNTIFS('Game Record'!G:G, A699, 'Game Record'!E:E, C699))</f>
        <v/>
      </c>
      <c r="E699" s="6" t="str">
        <f>IF(A699 = "", "", COUNTIFS('Game Record'!H:H, A699, 'Game Record'!E:E, C699))</f>
        <v/>
      </c>
      <c r="F699" s="2">
        <f t="shared" si="1"/>
        <v>0</v>
      </c>
      <c r="G699" s="1" t="str">
        <f>IF(A699 = "", "", COUNTIF('Game Record'!G:G, A699))</f>
        <v/>
      </c>
      <c r="H699" s="6" t="str">
        <f>IF(A699 = "", "", COUNTIF('Game Record'!H:H, A699))</f>
        <v/>
      </c>
      <c r="I699" s="2">
        <f>IFERROR(__xludf.DUMMYFUNCTION("SUM(FILTER(TeamARecordSet, INDEX(TeamARecordSet, 0, 1) = A699)) + SUM(FILTER(TeamBRecordSet, INDEX(TeamBRecordSet, 0, 1) = A699))"),0.0)</f>
        <v>0</v>
      </c>
      <c r="J699" s="2">
        <f t="shared" si="2"/>
        <v>0</v>
      </c>
      <c r="K699" s="2" t="str">
        <f t="shared" si="3"/>
        <v/>
      </c>
    </row>
    <row r="700">
      <c r="A700" s="2"/>
      <c r="B700" s="7"/>
      <c r="D700" s="5" t="str">
        <f>IF(A700 = "", "", COUNTIFS('Game Record'!G:G, A700, 'Game Record'!E:E, C700))</f>
        <v/>
      </c>
      <c r="E700" s="6" t="str">
        <f>IF(A700 = "", "", COUNTIFS('Game Record'!H:H, A700, 'Game Record'!E:E, C700))</f>
        <v/>
      </c>
      <c r="F700" s="2">
        <f t="shared" si="1"/>
        <v>0</v>
      </c>
      <c r="G700" s="1" t="str">
        <f>IF(A700 = "", "", COUNTIF('Game Record'!G:G, A700))</f>
        <v/>
      </c>
      <c r="H700" s="6" t="str">
        <f>IF(A700 = "", "", COUNTIF('Game Record'!H:H, A700))</f>
        <v/>
      </c>
      <c r="I700" s="2">
        <f>IFERROR(__xludf.DUMMYFUNCTION("SUM(FILTER(TeamARecordSet, INDEX(TeamARecordSet, 0, 1) = A700)) + SUM(FILTER(TeamBRecordSet, INDEX(TeamBRecordSet, 0, 1) = A700))"),0.0)</f>
        <v>0</v>
      </c>
      <c r="J700" s="2">
        <f t="shared" si="2"/>
        <v>0</v>
      </c>
      <c r="K700" s="2" t="str">
        <f t="shared" si="3"/>
        <v/>
      </c>
    </row>
    <row r="701">
      <c r="A701" s="2"/>
      <c r="B701" s="7"/>
      <c r="D701" s="5" t="str">
        <f>IF(A701 = "", "", COUNTIFS('Game Record'!G:G, A701, 'Game Record'!E:E, C701))</f>
        <v/>
      </c>
      <c r="E701" s="6" t="str">
        <f>IF(A701 = "", "", COUNTIFS('Game Record'!H:H, A701, 'Game Record'!E:E, C701))</f>
        <v/>
      </c>
      <c r="F701" s="2">
        <f t="shared" si="1"/>
        <v>0</v>
      </c>
      <c r="G701" s="1" t="str">
        <f>IF(A701 = "", "", COUNTIF('Game Record'!G:G, A701))</f>
        <v/>
      </c>
      <c r="H701" s="6" t="str">
        <f>IF(A701 = "", "", COUNTIF('Game Record'!H:H, A701))</f>
        <v/>
      </c>
      <c r="I701" s="2">
        <f>IFERROR(__xludf.DUMMYFUNCTION("SUM(FILTER(TeamARecordSet, INDEX(TeamARecordSet, 0, 1) = A701)) + SUM(FILTER(TeamBRecordSet, INDEX(TeamBRecordSet, 0, 1) = A701))"),0.0)</f>
        <v>0</v>
      </c>
      <c r="J701" s="2">
        <f t="shared" si="2"/>
        <v>0</v>
      </c>
      <c r="K701" s="2" t="str">
        <f t="shared" si="3"/>
        <v/>
      </c>
    </row>
    <row r="702">
      <c r="A702" s="2"/>
      <c r="B702" s="7"/>
      <c r="D702" s="5" t="str">
        <f>IF(A702 = "", "", COUNTIFS('Game Record'!G:G, A702, 'Game Record'!E:E, C702))</f>
        <v/>
      </c>
      <c r="E702" s="6" t="str">
        <f>IF(A702 = "", "", COUNTIFS('Game Record'!H:H, A702, 'Game Record'!E:E, C702))</f>
        <v/>
      </c>
      <c r="F702" s="2">
        <f t="shared" si="1"/>
        <v>0</v>
      </c>
      <c r="G702" s="1" t="str">
        <f>IF(A702 = "", "", COUNTIF('Game Record'!G:G, A702))</f>
        <v/>
      </c>
      <c r="H702" s="6" t="str">
        <f>IF(A702 = "", "", COUNTIF('Game Record'!H:H, A702))</f>
        <v/>
      </c>
      <c r="I702" s="2">
        <f>IFERROR(__xludf.DUMMYFUNCTION("SUM(FILTER(TeamARecordSet, INDEX(TeamARecordSet, 0, 1) = A702)) + SUM(FILTER(TeamBRecordSet, INDEX(TeamBRecordSet, 0, 1) = A702))"),0.0)</f>
        <v>0</v>
      </c>
      <c r="J702" s="2">
        <f t="shared" si="2"/>
        <v>0</v>
      </c>
      <c r="K702" s="2" t="str">
        <f t="shared" si="3"/>
        <v/>
      </c>
    </row>
    <row r="703">
      <c r="A703" s="2"/>
      <c r="B703" s="7"/>
      <c r="D703" s="5" t="str">
        <f>IF(A703 = "", "", COUNTIFS('Game Record'!G:G, A703, 'Game Record'!E:E, C703))</f>
        <v/>
      </c>
      <c r="E703" s="6" t="str">
        <f>IF(A703 = "", "", COUNTIFS('Game Record'!H:H, A703, 'Game Record'!E:E, C703))</f>
        <v/>
      </c>
      <c r="F703" s="2">
        <f t="shared" si="1"/>
        <v>0</v>
      </c>
      <c r="G703" s="1" t="str">
        <f>IF(A703 = "", "", COUNTIF('Game Record'!G:G, A703))</f>
        <v/>
      </c>
      <c r="H703" s="6" t="str">
        <f>IF(A703 = "", "", COUNTIF('Game Record'!H:H, A703))</f>
        <v/>
      </c>
      <c r="I703" s="2">
        <f>IFERROR(__xludf.DUMMYFUNCTION("SUM(FILTER(TeamARecordSet, INDEX(TeamARecordSet, 0, 1) = A703)) + SUM(FILTER(TeamBRecordSet, INDEX(TeamBRecordSet, 0, 1) = A703))"),0.0)</f>
        <v>0</v>
      </c>
      <c r="J703" s="2">
        <f t="shared" si="2"/>
        <v>0</v>
      </c>
      <c r="K703" s="2" t="str">
        <f t="shared" si="3"/>
        <v/>
      </c>
    </row>
    <row r="704">
      <c r="A704" s="2"/>
      <c r="B704" s="7"/>
      <c r="D704" s="5" t="str">
        <f>IF(A704 = "", "", COUNTIFS('Game Record'!G:G, A704, 'Game Record'!E:E, C704))</f>
        <v/>
      </c>
      <c r="E704" s="6" t="str">
        <f>IF(A704 = "", "", COUNTIFS('Game Record'!H:H, A704, 'Game Record'!E:E, C704))</f>
        <v/>
      </c>
      <c r="F704" s="2">
        <f t="shared" si="1"/>
        <v>0</v>
      </c>
      <c r="G704" s="1" t="str">
        <f>IF(A704 = "", "", COUNTIF('Game Record'!G:G, A704))</f>
        <v/>
      </c>
      <c r="H704" s="6" t="str">
        <f>IF(A704 = "", "", COUNTIF('Game Record'!H:H, A704))</f>
        <v/>
      </c>
      <c r="I704" s="2">
        <f>IFERROR(__xludf.DUMMYFUNCTION("SUM(FILTER(TeamARecordSet, INDEX(TeamARecordSet, 0, 1) = A704)) + SUM(FILTER(TeamBRecordSet, INDEX(TeamBRecordSet, 0, 1) = A704))"),0.0)</f>
        <v>0</v>
      </c>
      <c r="J704" s="2">
        <f t="shared" si="2"/>
        <v>0</v>
      </c>
      <c r="K704" s="2" t="str">
        <f t="shared" si="3"/>
        <v/>
      </c>
    </row>
    <row r="705">
      <c r="A705" s="2"/>
      <c r="B705" s="7"/>
      <c r="D705" s="5" t="str">
        <f>IF(A705 = "", "", COUNTIFS('Game Record'!G:G, A705, 'Game Record'!E:E, C705))</f>
        <v/>
      </c>
      <c r="E705" s="6" t="str">
        <f>IF(A705 = "", "", COUNTIFS('Game Record'!H:H, A705, 'Game Record'!E:E, C705))</f>
        <v/>
      </c>
      <c r="F705" s="2">
        <f t="shared" si="1"/>
        <v>0</v>
      </c>
      <c r="G705" s="1" t="str">
        <f>IF(A705 = "", "", COUNTIF('Game Record'!G:G, A705))</f>
        <v/>
      </c>
      <c r="H705" s="6" t="str">
        <f>IF(A705 = "", "", COUNTIF('Game Record'!H:H, A705))</f>
        <v/>
      </c>
      <c r="I705" s="2">
        <f>IFERROR(__xludf.DUMMYFUNCTION("SUM(FILTER(TeamARecordSet, INDEX(TeamARecordSet, 0, 1) = A705)) + SUM(FILTER(TeamBRecordSet, INDEX(TeamBRecordSet, 0, 1) = A705))"),0.0)</f>
        <v>0</v>
      </c>
      <c r="J705" s="2">
        <f t="shared" si="2"/>
        <v>0</v>
      </c>
      <c r="K705" s="2" t="str">
        <f t="shared" si="3"/>
        <v/>
      </c>
    </row>
    <row r="706">
      <c r="A706" s="2"/>
      <c r="B706" s="7"/>
      <c r="D706" s="5" t="str">
        <f>IF(A706 = "", "", COUNTIFS('Game Record'!G:G, A706, 'Game Record'!E:E, C706))</f>
        <v/>
      </c>
      <c r="E706" s="6" t="str">
        <f>IF(A706 = "", "", COUNTIFS('Game Record'!H:H, A706, 'Game Record'!E:E, C706))</f>
        <v/>
      </c>
      <c r="F706" s="2">
        <f t="shared" si="1"/>
        <v>0</v>
      </c>
      <c r="G706" s="1" t="str">
        <f>IF(A706 = "", "", COUNTIF('Game Record'!G:G, A706))</f>
        <v/>
      </c>
      <c r="H706" s="6" t="str">
        <f>IF(A706 = "", "", COUNTIF('Game Record'!H:H, A706))</f>
        <v/>
      </c>
      <c r="I706" s="2">
        <f>IFERROR(__xludf.DUMMYFUNCTION("SUM(FILTER(TeamARecordSet, INDEX(TeamARecordSet, 0, 1) = A706)) + SUM(FILTER(TeamBRecordSet, INDEX(TeamBRecordSet, 0, 1) = A706))"),0.0)</f>
        <v>0</v>
      </c>
      <c r="J706" s="2">
        <f t="shared" si="2"/>
        <v>0</v>
      </c>
      <c r="K706" s="2" t="str">
        <f t="shared" si="3"/>
        <v/>
      </c>
    </row>
    <row r="707">
      <c r="A707" s="2"/>
      <c r="B707" s="7"/>
      <c r="D707" s="5" t="str">
        <f>IF(A707 = "", "", COUNTIFS('Game Record'!G:G, A707, 'Game Record'!E:E, C707))</f>
        <v/>
      </c>
      <c r="E707" s="6" t="str">
        <f>IF(A707 = "", "", COUNTIFS('Game Record'!H:H, A707, 'Game Record'!E:E, C707))</f>
        <v/>
      </c>
      <c r="F707" s="2">
        <f t="shared" si="1"/>
        <v>0</v>
      </c>
      <c r="G707" s="1" t="str">
        <f>IF(A707 = "", "", COUNTIF('Game Record'!G:G, A707))</f>
        <v/>
      </c>
      <c r="H707" s="6" t="str">
        <f>IF(A707 = "", "", COUNTIF('Game Record'!H:H, A707))</f>
        <v/>
      </c>
      <c r="I707" s="2">
        <f>IFERROR(__xludf.DUMMYFUNCTION("SUM(FILTER(TeamARecordSet, INDEX(TeamARecordSet, 0, 1) = A707)) + SUM(FILTER(TeamBRecordSet, INDEX(TeamBRecordSet, 0, 1) = A707))"),0.0)</f>
        <v>0</v>
      </c>
      <c r="J707" s="2">
        <f t="shared" si="2"/>
        <v>0</v>
      </c>
      <c r="K707" s="2" t="str">
        <f t="shared" si="3"/>
        <v/>
      </c>
    </row>
    <row r="708">
      <c r="A708" s="2"/>
      <c r="B708" s="7"/>
      <c r="D708" s="5" t="str">
        <f>IF(A708 = "", "", COUNTIFS('Game Record'!G:G, A708, 'Game Record'!E:E, C708))</f>
        <v/>
      </c>
      <c r="E708" s="6" t="str">
        <f>IF(A708 = "", "", COUNTIFS('Game Record'!H:H, A708, 'Game Record'!E:E, C708))</f>
        <v/>
      </c>
      <c r="F708" s="2">
        <f t="shared" si="1"/>
        <v>0</v>
      </c>
      <c r="G708" s="1" t="str">
        <f>IF(A708 = "", "", COUNTIF('Game Record'!G:G, A708))</f>
        <v/>
      </c>
      <c r="H708" s="6" t="str">
        <f>IF(A708 = "", "", COUNTIF('Game Record'!H:H, A708))</f>
        <v/>
      </c>
      <c r="I708" s="2">
        <f>IFERROR(__xludf.DUMMYFUNCTION("SUM(FILTER(TeamARecordSet, INDEX(TeamARecordSet, 0, 1) = A708)) + SUM(FILTER(TeamBRecordSet, INDEX(TeamBRecordSet, 0, 1) = A708))"),0.0)</f>
        <v>0</v>
      </c>
      <c r="J708" s="2">
        <f t="shared" si="2"/>
        <v>0</v>
      </c>
      <c r="K708" s="2" t="str">
        <f t="shared" si="3"/>
        <v/>
      </c>
    </row>
    <row r="709">
      <c r="A709" s="2"/>
      <c r="B709" s="7"/>
      <c r="D709" s="5" t="str">
        <f>IF(A709 = "", "", COUNTIFS('Game Record'!G:G, A709, 'Game Record'!E:E, C709))</f>
        <v/>
      </c>
      <c r="E709" s="6" t="str">
        <f>IF(A709 = "", "", COUNTIFS('Game Record'!H:H, A709, 'Game Record'!E:E, C709))</f>
        <v/>
      </c>
      <c r="F709" s="2">
        <f t="shared" si="1"/>
        <v>0</v>
      </c>
      <c r="G709" s="1" t="str">
        <f>IF(A709 = "", "", COUNTIF('Game Record'!G:G, A709))</f>
        <v/>
      </c>
      <c r="H709" s="6" t="str">
        <f>IF(A709 = "", "", COUNTIF('Game Record'!H:H, A709))</f>
        <v/>
      </c>
      <c r="I709" s="2">
        <f>IFERROR(__xludf.DUMMYFUNCTION("SUM(FILTER(TeamARecordSet, INDEX(TeamARecordSet, 0, 1) = A709)) + SUM(FILTER(TeamBRecordSet, INDEX(TeamBRecordSet, 0, 1) = A709))"),0.0)</f>
        <v>0</v>
      </c>
      <c r="J709" s="2">
        <f t="shared" si="2"/>
        <v>0</v>
      </c>
      <c r="K709" s="2" t="str">
        <f t="shared" si="3"/>
        <v/>
      </c>
    </row>
    <row r="710">
      <c r="A710" s="2"/>
      <c r="B710" s="7"/>
      <c r="D710" s="5" t="str">
        <f>IF(A710 = "", "", COUNTIFS('Game Record'!G:G, A710, 'Game Record'!E:E, C710))</f>
        <v/>
      </c>
      <c r="E710" s="6" t="str">
        <f>IF(A710 = "", "", COUNTIFS('Game Record'!H:H, A710, 'Game Record'!E:E, C710))</f>
        <v/>
      </c>
      <c r="F710" s="2">
        <f t="shared" si="1"/>
        <v>0</v>
      </c>
      <c r="G710" s="1" t="str">
        <f>IF(A710 = "", "", COUNTIF('Game Record'!G:G, A710))</f>
        <v/>
      </c>
      <c r="H710" s="6" t="str">
        <f>IF(A710 = "", "", COUNTIF('Game Record'!H:H, A710))</f>
        <v/>
      </c>
      <c r="I710" s="2">
        <f>IFERROR(__xludf.DUMMYFUNCTION("SUM(FILTER(TeamARecordSet, INDEX(TeamARecordSet, 0, 1) = A710)) + SUM(FILTER(TeamBRecordSet, INDEX(TeamBRecordSet, 0, 1) = A710))"),0.0)</f>
        <v>0</v>
      </c>
      <c r="J710" s="2">
        <f t="shared" si="2"/>
        <v>0</v>
      </c>
      <c r="K710" s="2" t="str">
        <f t="shared" si="3"/>
        <v/>
      </c>
    </row>
    <row r="711">
      <c r="A711" s="2"/>
      <c r="B711" s="7"/>
      <c r="D711" s="5" t="str">
        <f>IF(A711 = "", "", COUNTIFS('Game Record'!G:G, A711, 'Game Record'!E:E, C711))</f>
        <v/>
      </c>
      <c r="E711" s="6" t="str">
        <f>IF(A711 = "", "", COUNTIFS('Game Record'!H:H, A711, 'Game Record'!E:E, C711))</f>
        <v/>
      </c>
      <c r="F711" s="2">
        <f t="shared" si="1"/>
        <v>0</v>
      </c>
      <c r="G711" s="1" t="str">
        <f>IF(A711 = "", "", COUNTIF('Game Record'!G:G, A711))</f>
        <v/>
      </c>
      <c r="H711" s="6" t="str">
        <f>IF(A711 = "", "", COUNTIF('Game Record'!H:H, A711))</f>
        <v/>
      </c>
      <c r="I711" s="2">
        <f>IFERROR(__xludf.DUMMYFUNCTION("SUM(FILTER(TeamARecordSet, INDEX(TeamARecordSet, 0, 1) = A711)) + SUM(FILTER(TeamBRecordSet, INDEX(TeamBRecordSet, 0, 1) = A711))"),0.0)</f>
        <v>0</v>
      </c>
      <c r="J711" s="2">
        <f t="shared" si="2"/>
        <v>0</v>
      </c>
      <c r="K711" s="2" t="str">
        <f t="shared" si="3"/>
        <v/>
      </c>
    </row>
    <row r="712">
      <c r="A712" s="2"/>
      <c r="B712" s="7"/>
      <c r="D712" s="5" t="str">
        <f>IF(A712 = "", "", COUNTIFS('Game Record'!G:G, A712, 'Game Record'!E:E, C712))</f>
        <v/>
      </c>
      <c r="E712" s="6" t="str">
        <f>IF(A712 = "", "", COUNTIFS('Game Record'!H:H, A712, 'Game Record'!E:E, C712))</f>
        <v/>
      </c>
      <c r="F712" s="2">
        <f t="shared" si="1"/>
        <v>0</v>
      </c>
      <c r="G712" s="1" t="str">
        <f>IF(A712 = "", "", COUNTIF('Game Record'!G:G, A712))</f>
        <v/>
      </c>
      <c r="H712" s="6" t="str">
        <f>IF(A712 = "", "", COUNTIF('Game Record'!H:H, A712))</f>
        <v/>
      </c>
      <c r="I712" s="2">
        <f>IFERROR(__xludf.DUMMYFUNCTION("SUM(FILTER(TeamARecordSet, INDEX(TeamARecordSet, 0, 1) = A712)) + SUM(FILTER(TeamBRecordSet, INDEX(TeamBRecordSet, 0, 1) = A712))"),0.0)</f>
        <v>0</v>
      </c>
      <c r="J712" s="2">
        <f t="shared" si="2"/>
        <v>0</v>
      </c>
      <c r="K712" s="2" t="str">
        <f t="shared" si="3"/>
        <v/>
      </c>
    </row>
    <row r="713">
      <c r="A713" s="2"/>
      <c r="B713" s="7"/>
      <c r="D713" s="5" t="str">
        <f>IF(A713 = "", "", COUNTIFS('Game Record'!G:G, A713, 'Game Record'!E:E, C713))</f>
        <v/>
      </c>
      <c r="E713" s="6" t="str">
        <f>IF(A713 = "", "", COUNTIFS('Game Record'!H:H, A713, 'Game Record'!E:E, C713))</f>
        <v/>
      </c>
      <c r="F713" s="2">
        <f t="shared" si="1"/>
        <v>0</v>
      </c>
      <c r="G713" s="1" t="str">
        <f>IF(A713 = "", "", COUNTIF('Game Record'!G:G, A713))</f>
        <v/>
      </c>
      <c r="H713" s="6" t="str">
        <f>IF(A713 = "", "", COUNTIF('Game Record'!H:H, A713))</f>
        <v/>
      </c>
      <c r="I713" s="2">
        <f>IFERROR(__xludf.DUMMYFUNCTION("SUM(FILTER(TeamARecordSet, INDEX(TeamARecordSet, 0, 1) = A713)) + SUM(FILTER(TeamBRecordSet, INDEX(TeamBRecordSet, 0, 1) = A713))"),0.0)</f>
        <v>0</v>
      </c>
      <c r="J713" s="2">
        <f t="shared" si="2"/>
        <v>0</v>
      </c>
      <c r="K713" s="2" t="str">
        <f t="shared" si="3"/>
        <v/>
      </c>
    </row>
    <row r="714">
      <c r="A714" s="2"/>
      <c r="B714" s="7"/>
      <c r="D714" s="5" t="str">
        <f>IF(A714 = "", "", COUNTIFS('Game Record'!G:G, A714, 'Game Record'!E:E, C714))</f>
        <v/>
      </c>
      <c r="E714" s="6" t="str">
        <f>IF(A714 = "", "", COUNTIFS('Game Record'!H:H, A714, 'Game Record'!E:E, C714))</f>
        <v/>
      </c>
      <c r="F714" s="2">
        <f t="shared" si="1"/>
        <v>0</v>
      </c>
      <c r="G714" s="1" t="str">
        <f>IF(A714 = "", "", COUNTIF('Game Record'!G:G, A714))</f>
        <v/>
      </c>
      <c r="H714" s="6" t="str">
        <f>IF(A714 = "", "", COUNTIF('Game Record'!H:H, A714))</f>
        <v/>
      </c>
      <c r="I714" s="2">
        <f>IFERROR(__xludf.DUMMYFUNCTION("SUM(FILTER(TeamARecordSet, INDEX(TeamARecordSet, 0, 1) = A714)) + SUM(FILTER(TeamBRecordSet, INDEX(TeamBRecordSet, 0, 1) = A714))"),0.0)</f>
        <v>0</v>
      </c>
      <c r="J714" s="2">
        <f t="shared" si="2"/>
        <v>0</v>
      </c>
      <c r="K714" s="2" t="str">
        <f t="shared" si="3"/>
        <v/>
      </c>
    </row>
    <row r="715">
      <c r="A715" s="2"/>
      <c r="B715" s="7"/>
      <c r="D715" s="5" t="str">
        <f>IF(A715 = "", "", COUNTIFS('Game Record'!G:G, A715, 'Game Record'!E:E, C715))</f>
        <v/>
      </c>
      <c r="E715" s="6" t="str">
        <f>IF(A715 = "", "", COUNTIFS('Game Record'!H:H, A715, 'Game Record'!E:E, C715))</f>
        <v/>
      </c>
      <c r="F715" s="2">
        <f t="shared" si="1"/>
        <v>0</v>
      </c>
      <c r="G715" s="1" t="str">
        <f>IF(A715 = "", "", COUNTIF('Game Record'!G:G, A715))</f>
        <v/>
      </c>
      <c r="H715" s="6" t="str">
        <f>IF(A715 = "", "", COUNTIF('Game Record'!H:H, A715))</f>
        <v/>
      </c>
      <c r="I715" s="2">
        <f>IFERROR(__xludf.DUMMYFUNCTION("SUM(FILTER(TeamARecordSet, INDEX(TeamARecordSet, 0, 1) = A715)) + SUM(FILTER(TeamBRecordSet, INDEX(TeamBRecordSet, 0, 1) = A715))"),0.0)</f>
        <v>0</v>
      </c>
      <c r="J715" s="2">
        <f t="shared" si="2"/>
        <v>0</v>
      </c>
      <c r="K715" s="2" t="str">
        <f t="shared" si="3"/>
        <v/>
      </c>
    </row>
    <row r="716">
      <c r="A716" s="2"/>
      <c r="B716" s="7"/>
      <c r="D716" s="5" t="str">
        <f>IF(A716 = "", "", COUNTIFS('Game Record'!G:G, A716, 'Game Record'!E:E, C716))</f>
        <v/>
      </c>
      <c r="E716" s="6" t="str">
        <f>IF(A716 = "", "", COUNTIFS('Game Record'!H:H, A716, 'Game Record'!E:E, C716))</f>
        <v/>
      </c>
      <c r="F716" s="2">
        <f t="shared" si="1"/>
        <v>0</v>
      </c>
      <c r="G716" s="1" t="str">
        <f>IF(A716 = "", "", COUNTIF('Game Record'!G:G, A716))</f>
        <v/>
      </c>
      <c r="H716" s="6" t="str">
        <f>IF(A716 = "", "", COUNTIF('Game Record'!H:H, A716))</f>
        <v/>
      </c>
      <c r="I716" s="2">
        <f>IFERROR(__xludf.DUMMYFUNCTION("SUM(FILTER(TeamARecordSet, INDEX(TeamARecordSet, 0, 1) = A716)) + SUM(FILTER(TeamBRecordSet, INDEX(TeamBRecordSet, 0, 1) = A716))"),0.0)</f>
        <v>0</v>
      </c>
      <c r="J716" s="2">
        <f t="shared" si="2"/>
        <v>0</v>
      </c>
      <c r="K716" s="2" t="str">
        <f t="shared" si="3"/>
        <v/>
      </c>
    </row>
    <row r="717">
      <c r="A717" s="2"/>
      <c r="B717" s="7"/>
      <c r="D717" s="5" t="str">
        <f>IF(A717 = "", "", COUNTIFS('Game Record'!G:G, A717, 'Game Record'!E:E, C717))</f>
        <v/>
      </c>
      <c r="E717" s="6" t="str">
        <f>IF(A717 = "", "", COUNTIFS('Game Record'!H:H, A717, 'Game Record'!E:E, C717))</f>
        <v/>
      </c>
      <c r="F717" s="2">
        <f t="shared" si="1"/>
        <v>0</v>
      </c>
      <c r="G717" s="1" t="str">
        <f>IF(A717 = "", "", COUNTIF('Game Record'!G:G, A717))</f>
        <v/>
      </c>
      <c r="H717" s="6" t="str">
        <f>IF(A717 = "", "", COUNTIF('Game Record'!H:H, A717))</f>
        <v/>
      </c>
      <c r="I717" s="2">
        <f>IFERROR(__xludf.DUMMYFUNCTION("SUM(FILTER(TeamARecordSet, INDEX(TeamARecordSet, 0, 1) = A717)) + SUM(FILTER(TeamBRecordSet, INDEX(TeamBRecordSet, 0, 1) = A717))"),0.0)</f>
        <v>0</v>
      </c>
      <c r="J717" s="2">
        <f t="shared" si="2"/>
        <v>0</v>
      </c>
      <c r="K717" s="2" t="str">
        <f t="shared" si="3"/>
        <v/>
      </c>
    </row>
    <row r="718">
      <c r="A718" s="2"/>
      <c r="B718" s="7"/>
      <c r="D718" s="5" t="str">
        <f>IF(A718 = "", "", COUNTIFS('Game Record'!G:G, A718, 'Game Record'!E:E, C718))</f>
        <v/>
      </c>
      <c r="E718" s="6" t="str">
        <f>IF(A718 = "", "", COUNTIFS('Game Record'!H:H, A718, 'Game Record'!E:E, C718))</f>
        <v/>
      </c>
      <c r="F718" s="2">
        <f t="shared" si="1"/>
        <v>0</v>
      </c>
      <c r="G718" s="1" t="str">
        <f>IF(A718 = "", "", COUNTIF('Game Record'!G:G, A718))</f>
        <v/>
      </c>
      <c r="H718" s="6" t="str">
        <f>IF(A718 = "", "", COUNTIF('Game Record'!H:H, A718))</f>
        <v/>
      </c>
      <c r="I718" s="2">
        <f>IFERROR(__xludf.DUMMYFUNCTION("SUM(FILTER(TeamARecordSet, INDEX(TeamARecordSet, 0, 1) = A718)) + SUM(FILTER(TeamBRecordSet, INDEX(TeamBRecordSet, 0, 1) = A718))"),0.0)</f>
        <v>0</v>
      </c>
      <c r="J718" s="2">
        <f t="shared" si="2"/>
        <v>0</v>
      </c>
      <c r="K718" s="2" t="str">
        <f t="shared" si="3"/>
        <v/>
      </c>
    </row>
    <row r="719">
      <c r="A719" s="2"/>
      <c r="B719" s="7"/>
      <c r="D719" s="5" t="str">
        <f>IF(A719 = "", "", COUNTIFS('Game Record'!G:G, A719, 'Game Record'!E:E, C719))</f>
        <v/>
      </c>
      <c r="E719" s="6" t="str">
        <f>IF(A719 = "", "", COUNTIFS('Game Record'!H:H, A719, 'Game Record'!E:E, C719))</f>
        <v/>
      </c>
      <c r="F719" s="2">
        <f t="shared" si="1"/>
        <v>0</v>
      </c>
      <c r="G719" s="1" t="str">
        <f>IF(A719 = "", "", COUNTIF('Game Record'!G:G, A719))</f>
        <v/>
      </c>
      <c r="H719" s="6" t="str">
        <f>IF(A719 = "", "", COUNTIF('Game Record'!H:H, A719))</f>
        <v/>
      </c>
      <c r="I719" s="2">
        <f>IFERROR(__xludf.DUMMYFUNCTION("SUM(FILTER(TeamARecordSet, INDEX(TeamARecordSet, 0, 1) = A719)) + SUM(FILTER(TeamBRecordSet, INDEX(TeamBRecordSet, 0, 1) = A719))"),0.0)</f>
        <v>0</v>
      </c>
      <c r="J719" s="2">
        <f t="shared" si="2"/>
        <v>0</v>
      </c>
      <c r="K719" s="2" t="str">
        <f t="shared" si="3"/>
        <v/>
      </c>
    </row>
    <row r="720">
      <c r="A720" s="2"/>
      <c r="B720" s="7"/>
      <c r="D720" s="5" t="str">
        <f>IF(A720 = "", "", COUNTIFS('Game Record'!G:G, A720, 'Game Record'!E:E, C720))</f>
        <v/>
      </c>
      <c r="E720" s="6" t="str">
        <f>IF(A720 = "", "", COUNTIFS('Game Record'!H:H, A720, 'Game Record'!E:E, C720))</f>
        <v/>
      </c>
      <c r="F720" s="2">
        <f t="shared" si="1"/>
        <v>0</v>
      </c>
      <c r="G720" s="1" t="str">
        <f>IF(A720 = "", "", COUNTIF('Game Record'!G:G, A720))</f>
        <v/>
      </c>
      <c r="H720" s="6" t="str">
        <f>IF(A720 = "", "", COUNTIF('Game Record'!H:H, A720))</f>
        <v/>
      </c>
      <c r="I720" s="2">
        <f>IFERROR(__xludf.DUMMYFUNCTION("SUM(FILTER(TeamARecordSet, INDEX(TeamARecordSet, 0, 1) = A720)) + SUM(FILTER(TeamBRecordSet, INDEX(TeamBRecordSet, 0, 1) = A720))"),0.0)</f>
        <v>0</v>
      </c>
      <c r="J720" s="2">
        <f t="shared" si="2"/>
        <v>0</v>
      </c>
      <c r="K720" s="2" t="str">
        <f t="shared" si="3"/>
        <v/>
      </c>
    </row>
    <row r="721">
      <c r="A721" s="2"/>
      <c r="B721" s="7"/>
      <c r="D721" s="5" t="str">
        <f>IF(A721 = "", "", COUNTIFS('Game Record'!G:G, A721, 'Game Record'!E:E, C721))</f>
        <v/>
      </c>
      <c r="E721" s="6" t="str">
        <f>IF(A721 = "", "", COUNTIFS('Game Record'!H:H, A721, 'Game Record'!E:E, C721))</f>
        <v/>
      </c>
      <c r="F721" s="2">
        <f t="shared" si="1"/>
        <v>0</v>
      </c>
      <c r="G721" s="1" t="str">
        <f>IF(A721 = "", "", COUNTIF('Game Record'!G:G, A721))</f>
        <v/>
      </c>
      <c r="H721" s="6" t="str">
        <f>IF(A721 = "", "", COUNTIF('Game Record'!H:H, A721))</f>
        <v/>
      </c>
      <c r="I721" s="2">
        <f>IFERROR(__xludf.DUMMYFUNCTION("SUM(FILTER(TeamARecordSet, INDEX(TeamARecordSet, 0, 1) = A721)) + SUM(FILTER(TeamBRecordSet, INDEX(TeamBRecordSet, 0, 1) = A721))"),0.0)</f>
        <v>0</v>
      </c>
      <c r="J721" s="2">
        <f t="shared" si="2"/>
        <v>0</v>
      </c>
      <c r="K721" s="2" t="str">
        <f t="shared" si="3"/>
        <v/>
      </c>
    </row>
    <row r="722">
      <c r="A722" s="2"/>
      <c r="B722" s="7"/>
      <c r="D722" s="5" t="str">
        <f>IF(A722 = "", "", COUNTIFS('Game Record'!G:G, A722, 'Game Record'!E:E, C722))</f>
        <v/>
      </c>
      <c r="E722" s="6" t="str">
        <f>IF(A722 = "", "", COUNTIFS('Game Record'!H:H, A722, 'Game Record'!E:E, C722))</f>
        <v/>
      </c>
      <c r="F722" s="2">
        <f t="shared" si="1"/>
        <v>0</v>
      </c>
      <c r="G722" s="1" t="str">
        <f>IF(A722 = "", "", COUNTIF('Game Record'!G:G, A722))</f>
        <v/>
      </c>
      <c r="H722" s="6" t="str">
        <f>IF(A722 = "", "", COUNTIF('Game Record'!H:H, A722))</f>
        <v/>
      </c>
      <c r="I722" s="2">
        <f>IFERROR(__xludf.DUMMYFUNCTION("SUM(FILTER(TeamARecordSet, INDEX(TeamARecordSet, 0, 1) = A722)) + SUM(FILTER(TeamBRecordSet, INDEX(TeamBRecordSet, 0, 1) = A722))"),0.0)</f>
        <v>0</v>
      </c>
      <c r="J722" s="2">
        <f t="shared" si="2"/>
        <v>0</v>
      </c>
      <c r="K722" s="2" t="str">
        <f t="shared" si="3"/>
        <v/>
      </c>
    </row>
    <row r="723">
      <c r="A723" s="2"/>
      <c r="B723" s="7"/>
      <c r="D723" s="5" t="str">
        <f>IF(A723 = "", "", COUNTIFS('Game Record'!G:G, A723, 'Game Record'!E:E, C723))</f>
        <v/>
      </c>
      <c r="E723" s="6" t="str">
        <f>IF(A723 = "", "", COUNTIFS('Game Record'!H:H, A723, 'Game Record'!E:E, C723))</f>
        <v/>
      </c>
      <c r="F723" s="2">
        <f t="shared" si="1"/>
        <v>0</v>
      </c>
      <c r="G723" s="1" t="str">
        <f>IF(A723 = "", "", COUNTIF('Game Record'!G:G, A723))</f>
        <v/>
      </c>
      <c r="H723" s="6" t="str">
        <f>IF(A723 = "", "", COUNTIF('Game Record'!H:H, A723))</f>
        <v/>
      </c>
      <c r="I723" s="2">
        <f>IFERROR(__xludf.DUMMYFUNCTION("SUM(FILTER(TeamARecordSet, INDEX(TeamARecordSet, 0, 1) = A723)) + SUM(FILTER(TeamBRecordSet, INDEX(TeamBRecordSet, 0, 1) = A723))"),0.0)</f>
        <v>0</v>
      </c>
      <c r="J723" s="2">
        <f t="shared" si="2"/>
        <v>0</v>
      </c>
      <c r="K723" s="2" t="str">
        <f t="shared" si="3"/>
        <v/>
      </c>
    </row>
    <row r="724">
      <c r="A724" s="2"/>
      <c r="B724" s="7"/>
      <c r="D724" s="5" t="str">
        <f>IF(A724 = "", "", COUNTIFS('Game Record'!G:G, A724, 'Game Record'!E:E, C724))</f>
        <v/>
      </c>
      <c r="E724" s="6" t="str">
        <f>IF(A724 = "", "", COUNTIFS('Game Record'!H:H, A724, 'Game Record'!E:E, C724))</f>
        <v/>
      </c>
      <c r="F724" s="2">
        <f t="shared" si="1"/>
        <v>0</v>
      </c>
      <c r="G724" s="1" t="str">
        <f>IF(A724 = "", "", COUNTIF('Game Record'!G:G, A724))</f>
        <v/>
      </c>
      <c r="H724" s="6" t="str">
        <f>IF(A724 = "", "", COUNTIF('Game Record'!H:H, A724))</f>
        <v/>
      </c>
      <c r="I724" s="2">
        <f>IFERROR(__xludf.DUMMYFUNCTION("SUM(FILTER(TeamARecordSet, INDEX(TeamARecordSet, 0, 1) = A724)) + SUM(FILTER(TeamBRecordSet, INDEX(TeamBRecordSet, 0, 1) = A724))"),0.0)</f>
        <v>0</v>
      </c>
      <c r="J724" s="2">
        <f t="shared" si="2"/>
        <v>0</v>
      </c>
      <c r="K724" s="2" t="str">
        <f t="shared" si="3"/>
        <v/>
      </c>
    </row>
    <row r="725">
      <c r="A725" s="2"/>
      <c r="B725" s="7"/>
      <c r="D725" s="5" t="str">
        <f>IF(A725 = "", "", COUNTIFS('Game Record'!G:G, A725, 'Game Record'!E:E, C725))</f>
        <v/>
      </c>
      <c r="E725" s="6" t="str">
        <f>IF(A725 = "", "", COUNTIFS('Game Record'!H:H, A725, 'Game Record'!E:E, C725))</f>
        <v/>
      </c>
      <c r="F725" s="2">
        <f t="shared" si="1"/>
        <v>0</v>
      </c>
      <c r="G725" s="1" t="str">
        <f>IF(A725 = "", "", COUNTIF('Game Record'!G:G, A725))</f>
        <v/>
      </c>
      <c r="H725" s="6" t="str">
        <f>IF(A725 = "", "", COUNTIF('Game Record'!H:H, A725))</f>
        <v/>
      </c>
      <c r="I725" s="2">
        <f>IFERROR(__xludf.DUMMYFUNCTION("SUM(FILTER(TeamARecordSet, INDEX(TeamARecordSet, 0, 1) = A725)) + SUM(FILTER(TeamBRecordSet, INDEX(TeamBRecordSet, 0, 1) = A725))"),0.0)</f>
        <v>0</v>
      </c>
      <c r="J725" s="2">
        <f t="shared" si="2"/>
        <v>0</v>
      </c>
      <c r="K725" s="2" t="str">
        <f t="shared" si="3"/>
        <v/>
      </c>
    </row>
    <row r="726">
      <c r="A726" s="2"/>
      <c r="B726" s="7"/>
      <c r="D726" s="5" t="str">
        <f>IF(A726 = "", "", COUNTIFS('Game Record'!G:G, A726, 'Game Record'!E:E, C726))</f>
        <v/>
      </c>
      <c r="E726" s="6" t="str">
        <f>IF(A726 = "", "", COUNTIFS('Game Record'!H:H, A726, 'Game Record'!E:E, C726))</f>
        <v/>
      </c>
      <c r="F726" s="2">
        <f t="shared" si="1"/>
        <v>0</v>
      </c>
      <c r="G726" s="1" t="str">
        <f>IF(A726 = "", "", COUNTIF('Game Record'!G:G, A726))</f>
        <v/>
      </c>
      <c r="H726" s="6" t="str">
        <f>IF(A726 = "", "", COUNTIF('Game Record'!H:H, A726))</f>
        <v/>
      </c>
      <c r="I726" s="2">
        <f>IFERROR(__xludf.DUMMYFUNCTION("SUM(FILTER(TeamARecordSet, INDEX(TeamARecordSet, 0, 1) = A726)) + SUM(FILTER(TeamBRecordSet, INDEX(TeamBRecordSet, 0, 1) = A726))"),0.0)</f>
        <v>0</v>
      </c>
      <c r="J726" s="2">
        <f t="shared" si="2"/>
        <v>0</v>
      </c>
      <c r="K726" s="2" t="str">
        <f t="shared" si="3"/>
        <v/>
      </c>
    </row>
    <row r="727">
      <c r="A727" s="2"/>
      <c r="B727" s="7"/>
      <c r="D727" s="5" t="str">
        <f>IF(A727 = "", "", COUNTIFS('Game Record'!G:G, A727, 'Game Record'!E:E, C727))</f>
        <v/>
      </c>
      <c r="E727" s="6" t="str">
        <f>IF(A727 = "", "", COUNTIFS('Game Record'!H:H, A727, 'Game Record'!E:E, C727))</f>
        <v/>
      </c>
      <c r="F727" s="2">
        <f t="shared" si="1"/>
        <v>0</v>
      </c>
      <c r="G727" s="1" t="str">
        <f>IF(A727 = "", "", COUNTIF('Game Record'!G:G, A727))</f>
        <v/>
      </c>
      <c r="H727" s="6" t="str">
        <f>IF(A727 = "", "", COUNTIF('Game Record'!H:H, A727))</f>
        <v/>
      </c>
      <c r="I727" s="2">
        <f>IFERROR(__xludf.DUMMYFUNCTION("SUM(FILTER(TeamARecordSet, INDEX(TeamARecordSet, 0, 1) = A727)) + SUM(FILTER(TeamBRecordSet, INDEX(TeamBRecordSet, 0, 1) = A727))"),0.0)</f>
        <v>0</v>
      </c>
      <c r="J727" s="2">
        <f t="shared" si="2"/>
        <v>0</v>
      </c>
      <c r="K727" s="2" t="str">
        <f t="shared" si="3"/>
        <v/>
      </c>
    </row>
    <row r="728">
      <c r="A728" s="2"/>
      <c r="B728" s="7"/>
      <c r="D728" s="5" t="str">
        <f>IF(A728 = "", "", COUNTIFS('Game Record'!G:G, A728, 'Game Record'!E:E, C728))</f>
        <v/>
      </c>
      <c r="E728" s="6" t="str">
        <f>IF(A728 = "", "", COUNTIFS('Game Record'!H:H, A728, 'Game Record'!E:E, C728))</f>
        <v/>
      </c>
      <c r="F728" s="2">
        <f t="shared" si="1"/>
        <v>0</v>
      </c>
      <c r="G728" s="1" t="str">
        <f>IF(A728 = "", "", COUNTIF('Game Record'!G:G, A728))</f>
        <v/>
      </c>
      <c r="H728" s="6" t="str">
        <f>IF(A728 = "", "", COUNTIF('Game Record'!H:H, A728))</f>
        <v/>
      </c>
      <c r="I728" s="2">
        <f>IFERROR(__xludf.DUMMYFUNCTION("SUM(FILTER(TeamARecordSet, INDEX(TeamARecordSet, 0, 1) = A728)) + SUM(FILTER(TeamBRecordSet, INDEX(TeamBRecordSet, 0, 1) = A728))"),0.0)</f>
        <v>0</v>
      </c>
      <c r="J728" s="2">
        <f t="shared" si="2"/>
        <v>0</v>
      </c>
      <c r="K728" s="2" t="str">
        <f t="shared" si="3"/>
        <v/>
      </c>
    </row>
    <row r="729">
      <c r="A729" s="2"/>
      <c r="B729" s="7"/>
      <c r="D729" s="5" t="str">
        <f>IF(A729 = "", "", COUNTIFS('Game Record'!G:G, A729, 'Game Record'!E:E, C729))</f>
        <v/>
      </c>
      <c r="E729" s="6" t="str">
        <f>IF(A729 = "", "", COUNTIFS('Game Record'!H:H, A729, 'Game Record'!E:E, C729))</f>
        <v/>
      </c>
      <c r="F729" s="2">
        <f t="shared" si="1"/>
        <v>0</v>
      </c>
      <c r="G729" s="1" t="str">
        <f>IF(A729 = "", "", COUNTIF('Game Record'!G:G, A729))</f>
        <v/>
      </c>
      <c r="H729" s="6" t="str">
        <f>IF(A729 = "", "", COUNTIF('Game Record'!H:H, A729))</f>
        <v/>
      </c>
      <c r="I729" s="2">
        <f>IFERROR(__xludf.DUMMYFUNCTION("SUM(FILTER(TeamARecordSet, INDEX(TeamARecordSet, 0, 1) = A729)) + SUM(FILTER(TeamBRecordSet, INDEX(TeamBRecordSet, 0, 1) = A729))"),0.0)</f>
        <v>0</v>
      </c>
      <c r="J729" s="2">
        <f t="shared" si="2"/>
        <v>0</v>
      </c>
      <c r="K729" s="2" t="str">
        <f t="shared" si="3"/>
        <v/>
      </c>
    </row>
    <row r="730">
      <c r="A730" s="2"/>
      <c r="B730" s="7"/>
      <c r="D730" s="5" t="str">
        <f>IF(A730 = "", "", COUNTIFS('Game Record'!G:G, A730, 'Game Record'!E:E, C730))</f>
        <v/>
      </c>
      <c r="E730" s="6" t="str">
        <f>IF(A730 = "", "", COUNTIFS('Game Record'!H:H, A730, 'Game Record'!E:E, C730))</f>
        <v/>
      </c>
      <c r="F730" s="2">
        <f t="shared" si="1"/>
        <v>0</v>
      </c>
      <c r="G730" s="1" t="str">
        <f>IF(A730 = "", "", COUNTIF('Game Record'!G:G, A730))</f>
        <v/>
      </c>
      <c r="H730" s="6" t="str">
        <f>IF(A730 = "", "", COUNTIF('Game Record'!H:H, A730))</f>
        <v/>
      </c>
      <c r="I730" s="2">
        <f>IFERROR(__xludf.DUMMYFUNCTION("SUM(FILTER(TeamARecordSet, INDEX(TeamARecordSet, 0, 1) = A730)) + SUM(FILTER(TeamBRecordSet, INDEX(TeamBRecordSet, 0, 1) = A730))"),0.0)</f>
        <v>0</v>
      </c>
      <c r="J730" s="2">
        <f t="shared" si="2"/>
        <v>0</v>
      </c>
      <c r="K730" s="2" t="str">
        <f t="shared" si="3"/>
        <v/>
      </c>
    </row>
    <row r="731">
      <c r="A731" s="2"/>
      <c r="B731" s="7"/>
      <c r="D731" s="5" t="str">
        <f>IF(A731 = "", "", COUNTIFS('Game Record'!G:G, A731, 'Game Record'!E:E, C731))</f>
        <v/>
      </c>
      <c r="E731" s="6" t="str">
        <f>IF(A731 = "", "", COUNTIFS('Game Record'!H:H, A731, 'Game Record'!E:E, C731))</f>
        <v/>
      </c>
      <c r="F731" s="2">
        <f t="shared" si="1"/>
        <v>0</v>
      </c>
      <c r="G731" s="1" t="str">
        <f>IF(A731 = "", "", COUNTIF('Game Record'!G:G, A731))</f>
        <v/>
      </c>
      <c r="H731" s="6" t="str">
        <f>IF(A731 = "", "", COUNTIF('Game Record'!H:H, A731))</f>
        <v/>
      </c>
      <c r="I731" s="2">
        <f>IFERROR(__xludf.DUMMYFUNCTION("SUM(FILTER(TeamARecordSet, INDEX(TeamARecordSet, 0, 1) = A731)) + SUM(FILTER(TeamBRecordSet, INDEX(TeamBRecordSet, 0, 1) = A731))"),0.0)</f>
        <v>0</v>
      </c>
      <c r="J731" s="2">
        <f t="shared" si="2"/>
        <v>0</v>
      </c>
      <c r="K731" s="2" t="str">
        <f t="shared" si="3"/>
        <v/>
      </c>
    </row>
    <row r="732">
      <c r="A732" s="2"/>
      <c r="B732" s="7"/>
      <c r="D732" s="5" t="str">
        <f>IF(A732 = "", "", COUNTIFS('Game Record'!G:G, A732, 'Game Record'!E:E, C732))</f>
        <v/>
      </c>
      <c r="E732" s="6" t="str">
        <f>IF(A732 = "", "", COUNTIFS('Game Record'!H:H, A732, 'Game Record'!E:E, C732))</f>
        <v/>
      </c>
      <c r="F732" s="2">
        <f t="shared" si="1"/>
        <v>0</v>
      </c>
      <c r="G732" s="1" t="str">
        <f>IF(A732 = "", "", COUNTIF('Game Record'!G:G, A732))</f>
        <v/>
      </c>
      <c r="H732" s="6" t="str">
        <f>IF(A732 = "", "", COUNTIF('Game Record'!H:H, A732))</f>
        <v/>
      </c>
      <c r="I732" s="2">
        <f>IFERROR(__xludf.DUMMYFUNCTION("SUM(FILTER(TeamARecordSet, INDEX(TeamARecordSet, 0, 1) = A732)) + SUM(FILTER(TeamBRecordSet, INDEX(TeamBRecordSet, 0, 1) = A732))"),0.0)</f>
        <v>0</v>
      </c>
      <c r="J732" s="2">
        <f t="shared" si="2"/>
        <v>0</v>
      </c>
      <c r="K732" s="2" t="str">
        <f t="shared" si="3"/>
        <v/>
      </c>
    </row>
    <row r="733">
      <c r="A733" s="2"/>
      <c r="B733" s="7"/>
      <c r="D733" s="5" t="str">
        <f>IF(A733 = "", "", COUNTIFS('Game Record'!G:G, A733, 'Game Record'!E:E, C733))</f>
        <v/>
      </c>
      <c r="E733" s="6" t="str">
        <f>IF(A733 = "", "", COUNTIFS('Game Record'!H:H, A733, 'Game Record'!E:E, C733))</f>
        <v/>
      </c>
      <c r="F733" s="2">
        <f t="shared" si="1"/>
        <v>0</v>
      </c>
      <c r="G733" s="1" t="str">
        <f>IF(A733 = "", "", COUNTIF('Game Record'!G:G, A733))</f>
        <v/>
      </c>
      <c r="H733" s="6" t="str">
        <f>IF(A733 = "", "", COUNTIF('Game Record'!H:H, A733))</f>
        <v/>
      </c>
      <c r="I733" s="2">
        <f>IFERROR(__xludf.DUMMYFUNCTION("SUM(FILTER(TeamARecordSet, INDEX(TeamARecordSet, 0, 1) = A733)) + SUM(FILTER(TeamBRecordSet, INDEX(TeamBRecordSet, 0, 1) = A733))"),0.0)</f>
        <v>0</v>
      </c>
      <c r="J733" s="2">
        <f t="shared" si="2"/>
        <v>0</v>
      </c>
      <c r="K733" s="2" t="str">
        <f t="shared" si="3"/>
        <v/>
      </c>
    </row>
    <row r="734">
      <c r="A734" s="2"/>
      <c r="B734" s="7"/>
      <c r="D734" s="5" t="str">
        <f>IF(A734 = "", "", COUNTIFS('Game Record'!G:G, A734, 'Game Record'!E:E, C734))</f>
        <v/>
      </c>
      <c r="E734" s="6" t="str">
        <f>IF(A734 = "", "", COUNTIFS('Game Record'!H:H, A734, 'Game Record'!E:E, C734))</f>
        <v/>
      </c>
      <c r="F734" s="2">
        <f t="shared" si="1"/>
        <v>0</v>
      </c>
      <c r="G734" s="1" t="str">
        <f>IF(A734 = "", "", COUNTIF('Game Record'!G:G, A734))</f>
        <v/>
      </c>
      <c r="H734" s="6" t="str">
        <f>IF(A734 = "", "", COUNTIF('Game Record'!H:H, A734))</f>
        <v/>
      </c>
      <c r="I734" s="2">
        <f>IFERROR(__xludf.DUMMYFUNCTION("SUM(FILTER(TeamARecordSet, INDEX(TeamARecordSet, 0, 1) = A734)) + SUM(FILTER(TeamBRecordSet, INDEX(TeamBRecordSet, 0, 1) = A734))"),0.0)</f>
        <v>0</v>
      </c>
      <c r="J734" s="2">
        <f t="shared" si="2"/>
        <v>0</v>
      </c>
      <c r="K734" s="2" t="str">
        <f t="shared" si="3"/>
        <v/>
      </c>
    </row>
    <row r="735">
      <c r="A735" s="2"/>
      <c r="B735" s="7"/>
      <c r="D735" s="5" t="str">
        <f>IF(A735 = "", "", COUNTIFS('Game Record'!G:G, A735, 'Game Record'!E:E, C735))</f>
        <v/>
      </c>
      <c r="E735" s="6" t="str">
        <f>IF(A735 = "", "", COUNTIFS('Game Record'!H:H, A735, 'Game Record'!E:E, C735))</f>
        <v/>
      </c>
      <c r="F735" s="2">
        <f t="shared" si="1"/>
        <v>0</v>
      </c>
      <c r="G735" s="1" t="str">
        <f>IF(A735 = "", "", COUNTIF('Game Record'!G:G, A735))</f>
        <v/>
      </c>
      <c r="H735" s="6" t="str">
        <f>IF(A735 = "", "", COUNTIF('Game Record'!H:H, A735))</f>
        <v/>
      </c>
      <c r="I735" s="2">
        <f>IFERROR(__xludf.DUMMYFUNCTION("SUM(FILTER(TeamARecordSet, INDEX(TeamARecordSet, 0, 1) = A735)) + SUM(FILTER(TeamBRecordSet, INDEX(TeamBRecordSet, 0, 1) = A735))"),0.0)</f>
        <v>0</v>
      </c>
      <c r="J735" s="2">
        <f t="shared" si="2"/>
        <v>0</v>
      </c>
      <c r="K735" s="2" t="str">
        <f t="shared" si="3"/>
        <v/>
      </c>
    </row>
    <row r="736">
      <c r="A736" s="2"/>
      <c r="B736" s="7"/>
      <c r="D736" s="5" t="str">
        <f>IF(A736 = "", "", COUNTIFS('Game Record'!G:G, A736, 'Game Record'!E:E, C736))</f>
        <v/>
      </c>
      <c r="E736" s="6" t="str">
        <f>IF(A736 = "", "", COUNTIFS('Game Record'!H:H, A736, 'Game Record'!E:E, C736))</f>
        <v/>
      </c>
      <c r="F736" s="2">
        <f t="shared" si="1"/>
        <v>0</v>
      </c>
      <c r="G736" s="1" t="str">
        <f>IF(A736 = "", "", COUNTIF('Game Record'!G:G, A736))</f>
        <v/>
      </c>
      <c r="H736" s="6" t="str">
        <f>IF(A736 = "", "", COUNTIF('Game Record'!H:H, A736))</f>
        <v/>
      </c>
      <c r="I736" s="2">
        <f>IFERROR(__xludf.DUMMYFUNCTION("SUM(FILTER(TeamARecordSet, INDEX(TeamARecordSet, 0, 1) = A736)) + SUM(FILTER(TeamBRecordSet, INDEX(TeamBRecordSet, 0, 1) = A736))"),0.0)</f>
        <v>0</v>
      </c>
      <c r="J736" s="2">
        <f t="shared" si="2"/>
        <v>0</v>
      </c>
      <c r="K736" s="2" t="str">
        <f t="shared" si="3"/>
        <v/>
      </c>
    </row>
    <row r="737">
      <c r="A737" s="2"/>
      <c r="B737" s="7"/>
      <c r="D737" s="5" t="str">
        <f>IF(A737 = "", "", COUNTIFS('Game Record'!G:G, A737, 'Game Record'!E:E, C737))</f>
        <v/>
      </c>
      <c r="E737" s="6" t="str">
        <f>IF(A737 = "", "", COUNTIFS('Game Record'!H:H, A737, 'Game Record'!E:E, C737))</f>
        <v/>
      </c>
      <c r="F737" s="2">
        <f t="shared" si="1"/>
        <v>0</v>
      </c>
      <c r="G737" s="1" t="str">
        <f>IF(A737 = "", "", COUNTIF('Game Record'!G:G, A737))</f>
        <v/>
      </c>
      <c r="H737" s="6" t="str">
        <f>IF(A737 = "", "", COUNTIF('Game Record'!H:H, A737))</f>
        <v/>
      </c>
      <c r="I737" s="2">
        <f>IFERROR(__xludf.DUMMYFUNCTION("SUM(FILTER(TeamARecordSet, INDEX(TeamARecordSet, 0, 1) = A737)) + SUM(FILTER(TeamBRecordSet, INDEX(TeamBRecordSet, 0, 1) = A737))"),0.0)</f>
        <v>0</v>
      </c>
      <c r="J737" s="2">
        <f t="shared" si="2"/>
        <v>0</v>
      </c>
      <c r="K737" s="2" t="str">
        <f t="shared" si="3"/>
        <v/>
      </c>
    </row>
    <row r="738">
      <c r="A738" s="2"/>
      <c r="B738" s="7"/>
      <c r="D738" s="5" t="str">
        <f>IF(A738 = "", "", COUNTIFS('Game Record'!G:G, A738, 'Game Record'!E:E, C738))</f>
        <v/>
      </c>
      <c r="E738" s="6" t="str">
        <f>IF(A738 = "", "", COUNTIFS('Game Record'!H:H, A738, 'Game Record'!E:E, C738))</f>
        <v/>
      </c>
      <c r="F738" s="2">
        <f t="shared" si="1"/>
        <v>0</v>
      </c>
      <c r="G738" s="1" t="str">
        <f>IF(A738 = "", "", COUNTIF('Game Record'!G:G, A738))</f>
        <v/>
      </c>
      <c r="H738" s="6" t="str">
        <f>IF(A738 = "", "", COUNTIF('Game Record'!H:H, A738))</f>
        <v/>
      </c>
      <c r="I738" s="2">
        <f>IFERROR(__xludf.DUMMYFUNCTION("SUM(FILTER(TeamARecordSet, INDEX(TeamARecordSet, 0, 1) = A738)) + SUM(FILTER(TeamBRecordSet, INDEX(TeamBRecordSet, 0, 1) = A738))"),0.0)</f>
        <v>0</v>
      </c>
      <c r="J738" s="2">
        <f t="shared" si="2"/>
        <v>0</v>
      </c>
      <c r="K738" s="2" t="str">
        <f t="shared" si="3"/>
        <v/>
      </c>
    </row>
    <row r="739">
      <c r="A739" s="2"/>
      <c r="B739" s="7"/>
      <c r="D739" s="5" t="str">
        <f>IF(A739 = "", "", COUNTIFS('Game Record'!G:G, A739, 'Game Record'!E:E, C739))</f>
        <v/>
      </c>
      <c r="E739" s="6" t="str">
        <f>IF(A739 = "", "", COUNTIFS('Game Record'!H:H, A739, 'Game Record'!E:E, C739))</f>
        <v/>
      </c>
      <c r="F739" s="2">
        <f t="shared" si="1"/>
        <v>0</v>
      </c>
      <c r="G739" s="1" t="str">
        <f>IF(A739 = "", "", COUNTIF('Game Record'!G:G, A739))</f>
        <v/>
      </c>
      <c r="H739" s="6" t="str">
        <f>IF(A739 = "", "", COUNTIF('Game Record'!H:H, A739))</f>
        <v/>
      </c>
      <c r="I739" s="2">
        <f>IFERROR(__xludf.DUMMYFUNCTION("SUM(FILTER(TeamARecordSet, INDEX(TeamARecordSet, 0, 1) = A739)) + SUM(FILTER(TeamBRecordSet, INDEX(TeamBRecordSet, 0, 1) = A739))"),0.0)</f>
        <v>0</v>
      </c>
      <c r="J739" s="2">
        <f t="shared" si="2"/>
        <v>0</v>
      </c>
      <c r="K739" s="2" t="str">
        <f t="shared" si="3"/>
        <v/>
      </c>
    </row>
    <row r="740">
      <c r="A740" s="2"/>
      <c r="B740" s="7"/>
      <c r="D740" s="5" t="str">
        <f>IF(A740 = "", "", COUNTIFS('Game Record'!G:G, A740, 'Game Record'!E:E, C740))</f>
        <v/>
      </c>
      <c r="E740" s="6" t="str">
        <f>IF(A740 = "", "", COUNTIFS('Game Record'!H:H, A740, 'Game Record'!E:E, C740))</f>
        <v/>
      </c>
      <c r="F740" s="2">
        <f t="shared" si="1"/>
        <v>0</v>
      </c>
      <c r="G740" s="1" t="str">
        <f>IF(A740 = "", "", COUNTIF('Game Record'!G:G, A740))</f>
        <v/>
      </c>
      <c r="H740" s="6" t="str">
        <f>IF(A740 = "", "", COUNTIF('Game Record'!H:H, A740))</f>
        <v/>
      </c>
      <c r="I740" s="2">
        <f>IFERROR(__xludf.DUMMYFUNCTION("SUM(FILTER(TeamARecordSet, INDEX(TeamARecordSet, 0, 1) = A740)) + SUM(FILTER(TeamBRecordSet, INDEX(TeamBRecordSet, 0, 1) = A740))"),0.0)</f>
        <v>0</v>
      </c>
      <c r="J740" s="2">
        <f t="shared" si="2"/>
        <v>0</v>
      </c>
      <c r="K740" s="2" t="str">
        <f t="shared" si="3"/>
        <v/>
      </c>
    </row>
    <row r="741">
      <c r="A741" s="2"/>
      <c r="B741" s="7"/>
      <c r="D741" s="5" t="str">
        <f>IF(A741 = "", "", COUNTIFS('Game Record'!G:G, A741, 'Game Record'!E:E, C741))</f>
        <v/>
      </c>
      <c r="E741" s="6" t="str">
        <f>IF(A741 = "", "", COUNTIFS('Game Record'!H:H, A741, 'Game Record'!E:E, C741))</f>
        <v/>
      </c>
      <c r="F741" s="2">
        <f t="shared" si="1"/>
        <v>0</v>
      </c>
      <c r="G741" s="1" t="str">
        <f>IF(A741 = "", "", COUNTIF('Game Record'!G:G, A741))</f>
        <v/>
      </c>
      <c r="H741" s="6" t="str">
        <f>IF(A741 = "", "", COUNTIF('Game Record'!H:H, A741))</f>
        <v/>
      </c>
      <c r="I741" s="2">
        <f>IFERROR(__xludf.DUMMYFUNCTION("SUM(FILTER(TeamARecordSet, INDEX(TeamARecordSet, 0, 1) = A741)) + SUM(FILTER(TeamBRecordSet, INDEX(TeamBRecordSet, 0, 1) = A741))"),0.0)</f>
        <v>0</v>
      </c>
      <c r="J741" s="2">
        <f t="shared" si="2"/>
        <v>0</v>
      </c>
      <c r="K741" s="2" t="str">
        <f t="shared" si="3"/>
        <v/>
      </c>
    </row>
    <row r="742">
      <c r="A742" s="2"/>
      <c r="B742" s="7"/>
      <c r="D742" s="5" t="str">
        <f>IF(A742 = "", "", COUNTIFS('Game Record'!G:G, A742, 'Game Record'!E:E, C742))</f>
        <v/>
      </c>
      <c r="E742" s="6" t="str">
        <f>IF(A742 = "", "", COUNTIFS('Game Record'!H:H, A742, 'Game Record'!E:E, C742))</f>
        <v/>
      </c>
      <c r="F742" s="2">
        <f t="shared" si="1"/>
        <v>0</v>
      </c>
      <c r="G742" s="1" t="str">
        <f>IF(A742 = "", "", COUNTIF('Game Record'!G:G, A742))</f>
        <v/>
      </c>
      <c r="H742" s="6" t="str">
        <f>IF(A742 = "", "", COUNTIF('Game Record'!H:H, A742))</f>
        <v/>
      </c>
      <c r="I742" s="2">
        <f>IFERROR(__xludf.DUMMYFUNCTION("SUM(FILTER(TeamARecordSet, INDEX(TeamARecordSet, 0, 1) = A742)) + SUM(FILTER(TeamBRecordSet, INDEX(TeamBRecordSet, 0, 1) = A742))"),0.0)</f>
        <v>0</v>
      </c>
      <c r="J742" s="2">
        <f t="shared" si="2"/>
        <v>0</v>
      </c>
      <c r="K742" s="2" t="str">
        <f t="shared" si="3"/>
        <v/>
      </c>
    </row>
    <row r="743">
      <c r="A743" s="2"/>
      <c r="B743" s="7"/>
      <c r="D743" s="5" t="str">
        <f>IF(A743 = "", "", COUNTIFS('Game Record'!G:G, A743, 'Game Record'!E:E, C743))</f>
        <v/>
      </c>
      <c r="E743" s="6" t="str">
        <f>IF(A743 = "", "", COUNTIFS('Game Record'!H:H, A743, 'Game Record'!E:E, C743))</f>
        <v/>
      </c>
      <c r="F743" s="2">
        <f t="shared" si="1"/>
        <v>0</v>
      </c>
      <c r="G743" s="1" t="str">
        <f>IF(A743 = "", "", COUNTIF('Game Record'!G:G, A743))</f>
        <v/>
      </c>
      <c r="H743" s="6" t="str">
        <f>IF(A743 = "", "", COUNTIF('Game Record'!H:H, A743))</f>
        <v/>
      </c>
      <c r="I743" s="2">
        <f>IFERROR(__xludf.DUMMYFUNCTION("SUM(FILTER(TeamARecordSet, INDEX(TeamARecordSet, 0, 1) = A743)) + SUM(FILTER(TeamBRecordSet, INDEX(TeamBRecordSet, 0, 1) = A743))"),0.0)</f>
        <v>0</v>
      </c>
      <c r="J743" s="2">
        <f t="shared" si="2"/>
        <v>0</v>
      </c>
      <c r="K743" s="2" t="str">
        <f t="shared" si="3"/>
        <v/>
      </c>
    </row>
    <row r="744">
      <c r="A744" s="2"/>
      <c r="B744" s="7"/>
      <c r="D744" s="5" t="str">
        <f>IF(A744 = "", "", COUNTIFS('Game Record'!G:G, A744, 'Game Record'!E:E, C744))</f>
        <v/>
      </c>
      <c r="E744" s="6" t="str">
        <f>IF(A744 = "", "", COUNTIFS('Game Record'!H:H, A744, 'Game Record'!E:E, C744))</f>
        <v/>
      </c>
      <c r="F744" s="2">
        <f t="shared" si="1"/>
        <v>0</v>
      </c>
      <c r="G744" s="1" t="str">
        <f>IF(A744 = "", "", COUNTIF('Game Record'!G:G, A744))</f>
        <v/>
      </c>
      <c r="H744" s="6" t="str">
        <f>IF(A744 = "", "", COUNTIF('Game Record'!H:H, A744))</f>
        <v/>
      </c>
      <c r="I744" s="2">
        <f>IFERROR(__xludf.DUMMYFUNCTION("SUM(FILTER(TeamARecordSet, INDEX(TeamARecordSet, 0, 1) = A744)) + SUM(FILTER(TeamBRecordSet, INDEX(TeamBRecordSet, 0, 1) = A744))"),0.0)</f>
        <v>0</v>
      </c>
      <c r="J744" s="2">
        <f t="shared" si="2"/>
        <v>0</v>
      </c>
      <c r="K744" s="2" t="str">
        <f t="shared" si="3"/>
        <v/>
      </c>
    </row>
    <row r="745">
      <c r="A745" s="2"/>
      <c r="B745" s="7"/>
      <c r="D745" s="5" t="str">
        <f>IF(A745 = "", "", COUNTIFS('Game Record'!G:G, A745, 'Game Record'!E:E, C745))</f>
        <v/>
      </c>
      <c r="E745" s="6" t="str">
        <f>IF(A745 = "", "", COUNTIFS('Game Record'!H:H, A745, 'Game Record'!E:E, C745))</f>
        <v/>
      </c>
      <c r="F745" s="2">
        <f t="shared" si="1"/>
        <v>0</v>
      </c>
      <c r="G745" s="1" t="str">
        <f>IF(A745 = "", "", COUNTIF('Game Record'!G:G, A745))</f>
        <v/>
      </c>
      <c r="H745" s="6" t="str">
        <f>IF(A745 = "", "", COUNTIF('Game Record'!H:H, A745))</f>
        <v/>
      </c>
      <c r="I745" s="2">
        <f>IFERROR(__xludf.DUMMYFUNCTION("SUM(FILTER(TeamARecordSet, INDEX(TeamARecordSet, 0, 1) = A745)) + SUM(FILTER(TeamBRecordSet, INDEX(TeamBRecordSet, 0, 1) = A745))"),0.0)</f>
        <v>0</v>
      </c>
      <c r="J745" s="2">
        <f t="shared" si="2"/>
        <v>0</v>
      </c>
      <c r="K745" s="2" t="str">
        <f t="shared" si="3"/>
        <v/>
      </c>
    </row>
    <row r="746">
      <c r="A746" s="2"/>
      <c r="B746" s="7"/>
      <c r="D746" s="5" t="str">
        <f>IF(A746 = "", "", COUNTIFS('Game Record'!G:G, A746, 'Game Record'!E:E, C746))</f>
        <v/>
      </c>
      <c r="E746" s="6" t="str">
        <f>IF(A746 = "", "", COUNTIFS('Game Record'!H:H, A746, 'Game Record'!E:E, C746))</f>
        <v/>
      </c>
      <c r="F746" s="2">
        <f t="shared" si="1"/>
        <v>0</v>
      </c>
      <c r="G746" s="1" t="str">
        <f>IF(A746 = "", "", COUNTIF('Game Record'!G:G, A746))</f>
        <v/>
      </c>
      <c r="H746" s="6" t="str">
        <f>IF(A746 = "", "", COUNTIF('Game Record'!H:H, A746))</f>
        <v/>
      </c>
      <c r="I746" s="2">
        <f>IFERROR(__xludf.DUMMYFUNCTION("SUM(FILTER(TeamARecordSet, INDEX(TeamARecordSet, 0, 1) = A746)) + SUM(FILTER(TeamBRecordSet, INDEX(TeamBRecordSet, 0, 1) = A746))"),0.0)</f>
        <v>0</v>
      </c>
      <c r="J746" s="2">
        <f t="shared" si="2"/>
        <v>0</v>
      </c>
      <c r="K746" s="2" t="str">
        <f t="shared" si="3"/>
        <v/>
      </c>
    </row>
    <row r="747">
      <c r="A747" s="2"/>
      <c r="B747" s="7"/>
      <c r="D747" s="5" t="str">
        <f>IF(A747 = "", "", COUNTIFS('Game Record'!G:G, A747, 'Game Record'!E:E, C747))</f>
        <v/>
      </c>
      <c r="E747" s="6" t="str">
        <f>IF(A747 = "", "", COUNTIFS('Game Record'!H:H, A747, 'Game Record'!E:E, C747))</f>
        <v/>
      </c>
      <c r="F747" s="2">
        <f t="shared" si="1"/>
        <v>0</v>
      </c>
      <c r="G747" s="1" t="str">
        <f>IF(A747 = "", "", COUNTIF('Game Record'!G:G, A747))</f>
        <v/>
      </c>
      <c r="H747" s="6" t="str">
        <f>IF(A747 = "", "", COUNTIF('Game Record'!H:H, A747))</f>
        <v/>
      </c>
      <c r="I747" s="2">
        <f>IFERROR(__xludf.DUMMYFUNCTION("SUM(FILTER(TeamARecordSet, INDEX(TeamARecordSet, 0, 1) = A747)) + SUM(FILTER(TeamBRecordSet, INDEX(TeamBRecordSet, 0, 1) = A747))"),0.0)</f>
        <v>0</v>
      </c>
      <c r="J747" s="2">
        <f t="shared" si="2"/>
        <v>0</v>
      </c>
      <c r="K747" s="2" t="str">
        <f t="shared" si="3"/>
        <v/>
      </c>
    </row>
    <row r="748">
      <c r="A748" s="2"/>
      <c r="B748" s="7"/>
      <c r="D748" s="5" t="str">
        <f>IF(A748 = "", "", COUNTIFS('Game Record'!G:G, A748, 'Game Record'!E:E, C748))</f>
        <v/>
      </c>
      <c r="E748" s="6" t="str">
        <f>IF(A748 = "", "", COUNTIFS('Game Record'!H:H, A748, 'Game Record'!E:E, C748))</f>
        <v/>
      </c>
      <c r="F748" s="2">
        <f t="shared" si="1"/>
        <v>0</v>
      </c>
      <c r="G748" s="1" t="str">
        <f>IF(A748 = "", "", COUNTIF('Game Record'!G:G, A748))</f>
        <v/>
      </c>
      <c r="H748" s="6" t="str">
        <f>IF(A748 = "", "", COUNTIF('Game Record'!H:H, A748))</f>
        <v/>
      </c>
      <c r="I748" s="2">
        <f>IFERROR(__xludf.DUMMYFUNCTION("SUM(FILTER(TeamARecordSet, INDEX(TeamARecordSet, 0, 1) = A748)) + SUM(FILTER(TeamBRecordSet, INDEX(TeamBRecordSet, 0, 1) = A748))"),0.0)</f>
        <v>0</v>
      </c>
      <c r="J748" s="2">
        <f t="shared" si="2"/>
        <v>0</v>
      </c>
      <c r="K748" s="2" t="str">
        <f t="shared" si="3"/>
        <v/>
      </c>
    </row>
    <row r="749">
      <c r="A749" s="2"/>
      <c r="B749" s="7"/>
      <c r="D749" s="5" t="str">
        <f>IF(A749 = "", "", COUNTIFS('Game Record'!G:G, A749, 'Game Record'!E:E, C749))</f>
        <v/>
      </c>
      <c r="E749" s="6" t="str">
        <f>IF(A749 = "", "", COUNTIFS('Game Record'!H:H, A749, 'Game Record'!E:E, C749))</f>
        <v/>
      </c>
      <c r="F749" s="2">
        <f t="shared" si="1"/>
        <v>0</v>
      </c>
      <c r="G749" s="1" t="str">
        <f>IF(A749 = "", "", COUNTIF('Game Record'!G:G, A749))</f>
        <v/>
      </c>
      <c r="H749" s="6" t="str">
        <f>IF(A749 = "", "", COUNTIF('Game Record'!H:H, A749))</f>
        <v/>
      </c>
      <c r="I749" s="2">
        <f>IFERROR(__xludf.DUMMYFUNCTION("SUM(FILTER(TeamARecordSet, INDEX(TeamARecordSet, 0, 1) = A749)) + SUM(FILTER(TeamBRecordSet, INDEX(TeamBRecordSet, 0, 1) = A749))"),0.0)</f>
        <v>0</v>
      </c>
      <c r="J749" s="2">
        <f t="shared" si="2"/>
        <v>0</v>
      </c>
      <c r="K749" s="2" t="str">
        <f t="shared" si="3"/>
        <v/>
      </c>
    </row>
    <row r="750">
      <c r="A750" s="2"/>
      <c r="B750" s="7"/>
      <c r="D750" s="5" t="str">
        <f>IF(A750 = "", "", COUNTIFS('Game Record'!G:G, A750, 'Game Record'!E:E, C750))</f>
        <v/>
      </c>
      <c r="E750" s="6" t="str">
        <f>IF(A750 = "", "", COUNTIFS('Game Record'!H:H, A750, 'Game Record'!E:E, C750))</f>
        <v/>
      </c>
      <c r="F750" s="2">
        <f t="shared" si="1"/>
        <v>0</v>
      </c>
      <c r="G750" s="1" t="str">
        <f>IF(A750 = "", "", COUNTIF('Game Record'!G:G, A750))</f>
        <v/>
      </c>
      <c r="H750" s="6" t="str">
        <f>IF(A750 = "", "", COUNTIF('Game Record'!H:H, A750))</f>
        <v/>
      </c>
      <c r="I750" s="2">
        <f>IFERROR(__xludf.DUMMYFUNCTION("SUM(FILTER(TeamARecordSet, INDEX(TeamARecordSet, 0, 1) = A750)) + SUM(FILTER(TeamBRecordSet, INDEX(TeamBRecordSet, 0, 1) = A750))"),0.0)</f>
        <v>0</v>
      </c>
      <c r="J750" s="2">
        <f t="shared" si="2"/>
        <v>0</v>
      </c>
      <c r="K750" s="2" t="str">
        <f t="shared" si="3"/>
        <v/>
      </c>
    </row>
    <row r="751">
      <c r="A751" s="2"/>
      <c r="B751" s="7"/>
      <c r="D751" s="5" t="str">
        <f>IF(A751 = "", "", COUNTIFS('Game Record'!G:G, A751, 'Game Record'!E:E, C751))</f>
        <v/>
      </c>
      <c r="E751" s="6" t="str">
        <f>IF(A751 = "", "", COUNTIFS('Game Record'!H:H, A751, 'Game Record'!E:E, C751))</f>
        <v/>
      </c>
      <c r="F751" s="2">
        <f t="shared" si="1"/>
        <v>0</v>
      </c>
      <c r="G751" s="1" t="str">
        <f>IF(A751 = "", "", COUNTIF('Game Record'!G:G, A751))</f>
        <v/>
      </c>
      <c r="H751" s="6" t="str">
        <f>IF(A751 = "", "", COUNTIF('Game Record'!H:H, A751))</f>
        <v/>
      </c>
      <c r="I751" s="2">
        <f>IFERROR(__xludf.DUMMYFUNCTION("SUM(FILTER(TeamARecordSet, INDEX(TeamARecordSet, 0, 1) = A751)) + SUM(FILTER(TeamBRecordSet, INDEX(TeamBRecordSet, 0, 1) = A751))"),0.0)</f>
        <v>0</v>
      </c>
      <c r="J751" s="2">
        <f t="shared" si="2"/>
        <v>0</v>
      </c>
      <c r="K751" s="2" t="str">
        <f t="shared" si="3"/>
        <v/>
      </c>
    </row>
    <row r="752">
      <c r="A752" s="2"/>
      <c r="B752" s="7"/>
      <c r="D752" s="5" t="str">
        <f>IF(A752 = "", "", COUNTIFS('Game Record'!G:G, A752, 'Game Record'!E:E, C752))</f>
        <v/>
      </c>
      <c r="E752" s="6" t="str">
        <f>IF(A752 = "", "", COUNTIFS('Game Record'!H:H, A752, 'Game Record'!E:E, C752))</f>
        <v/>
      </c>
      <c r="F752" s="2">
        <f t="shared" si="1"/>
        <v>0</v>
      </c>
      <c r="G752" s="1" t="str">
        <f>IF(A752 = "", "", COUNTIF('Game Record'!G:G, A752))</f>
        <v/>
      </c>
      <c r="H752" s="6" t="str">
        <f>IF(A752 = "", "", COUNTIF('Game Record'!H:H, A752))</f>
        <v/>
      </c>
      <c r="I752" s="2">
        <f>IFERROR(__xludf.DUMMYFUNCTION("SUM(FILTER(TeamARecordSet, INDEX(TeamARecordSet, 0, 1) = A752)) + SUM(FILTER(TeamBRecordSet, INDEX(TeamBRecordSet, 0, 1) = A752))"),0.0)</f>
        <v>0</v>
      </c>
      <c r="J752" s="2">
        <f t="shared" si="2"/>
        <v>0</v>
      </c>
      <c r="K752" s="2" t="str">
        <f t="shared" si="3"/>
        <v/>
      </c>
    </row>
    <row r="753">
      <c r="A753" s="2"/>
      <c r="B753" s="7"/>
      <c r="D753" s="5" t="str">
        <f>IF(A753 = "", "", COUNTIFS('Game Record'!G:G, A753, 'Game Record'!E:E, C753))</f>
        <v/>
      </c>
      <c r="E753" s="6" t="str">
        <f>IF(A753 = "", "", COUNTIFS('Game Record'!H:H, A753, 'Game Record'!E:E, C753))</f>
        <v/>
      </c>
      <c r="F753" s="2">
        <f t="shared" si="1"/>
        <v>0</v>
      </c>
      <c r="G753" s="1" t="str">
        <f>IF(A753 = "", "", COUNTIF('Game Record'!G:G, A753))</f>
        <v/>
      </c>
      <c r="H753" s="6" t="str">
        <f>IF(A753 = "", "", COUNTIF('Game Record'!H:H, A753))</f>
        <v/>
      </c>
      <c r="I753" s="2">
        <f>IFERROR(__xludf.DUMMYFUNCTION("SUM(FILTER(TeamARecordSet, INDEX(TeamARecordSet, 0, 1) = A753)) + SUM(FILTER(TeamBRecordSet, INDEX(TeamBRecordSet, 0, 1) = A753))"),0.0)</f>
        <v>0</v>
      </c>
      <c r="J753" s="2">
        <f t="shared" si="2"/>
        <v>0</v>
      </c>
      <c r="K753" s="2" t="str">
        <f t="shared" si="3"/>
        <v/>
      </c>
    </row>
    <row r="754">
      <c r="A754" s="2"/>
      <c r="B754" s="7"/>
      <c r="D754" s="5" t="str">
        <f>IF(A754 = "", "", COUNTIFS('Game Record'!G:G, A754, 'Game Record'!E:E, C754))</f>
        <v/>
      </c>
      <c r="E754" s="6" t="str">
        <f>IF(A754 = "", "", COUNTIFS('Game Record'!H:H, A754, 'Game Record'!E:E, C754))</f>
        <v/>
      </c>
      <c r="F754" s="2">
        <f t="shared" si="1"/>
        <v>0</v>
      </c>
      <c r="G754" s="1" t="str">
        <f>IF(A754 = "", "", COUNTIF('Game Record'!G:G, A754))</f>
        <v/>
      </c>
      <c r="H754" s="6" t="str">
        <f>IF(A754 = "", "", COUNTIF('Game Record'!H:H, A754))</f>
        <v/>
      </c>
      <c r="I754" s="2">
        <f>IFERROR(__xludf.DUMMYFUNCTION("SUM(FILTER(TeamARecordSet, INDEX(TeamARecordSet, 0, 1) = A754)) + SUM(FILTER(TeamBRecordSet, INDEX(TeamBRecordSet, 0, 1) = A754))"),0.0)</f>
        <v>0</v>
      </c>
      <c r="J754" s="2">
        <f t="shared" si="2"/>
        <v>0</v>
      </c>
      <c r="K754" s="2" t="str">
        <f t="shared" si="3"/>
        <v/>
      </c>
    </row>
    <row r="755">
      <c r="A755" s="2"/>
      <c r="B755" s="7"/>
      <c r="D755" s="5" t="str">
        <f>IF(A755 = "", "", COUNTIFS('Game Record'!G:G, A755, 'Game Record'!E:E, C755))</f>
        <v/>
      </c>
      <c r="E755" s="6" t="str">
        <f>IF(A755 = "", "", COUNTIFS('Game Record'!H:H, A755, 'Game Record'!E:E, C755))</f>
        <v/>
      </c>
      <c r="F755" s="2">
        <f t="shared" si="1"/>
        <v>0</v>
      </c>
      <c r="G755" s="1" t="str">
        <f>IF(A755 = "", "", COUNTIF('Game Record'!G:G, A755))</f>
        <v/>
      </c>
      <c r="H755" s="6" t="str">
        <f>IF(A755 = "", "", COUNTIF('Game Record'!H:H, A755))</f>
        <v/>
      </c>
      <c r="I755" s="2">
        <f>IFERROR(__xludf.DUMMYFUNCTION("SUM(FILTER(TeamARecordSet, INDEX(TeamARecordSet, 0, 1) = A755)) + SUM(FILTER(TeamBRecordSet, INDEX(TeamBRecordSet, 0, 1) = A755))"),0.0)</f>
        <v>0</v>
      </c>
      <c r="J755" s="2">
        <f t="shared" si="2"/>
        <v>0</v>
      </c>
      <c r="K755" s="2" t="str">
        <f t="shared" si="3"/>
        <v/>
      </c>
    </row>
    <row r="756">
      <c r="A756" s="2"/>
      <c r="B756" s="7"/>
      <c r="D756" s="5" t="str">
        <f>IF(A756 = "", "", COUNTIFS('Game Record'!G:G, A756, 'Game Record'!E:E, C756))</f>
        <v/>
      </c>
      <c r="E756" s="6" t="str">
        <f>IF(A756 = "", "", COUNTIFS('Game Record'!H:H, A756, 'Game Record'!E:E, C756))</f>
        <v/>
      </c>
      <c r="F756" s="2">
        <f t="shared" si="1"/>
        <v>0</v>
      </c>
      <c r="G756" s="1" t="str">
        <f>IF(A756 = "", "", COUNTIF('Game Record'!G:G, A756))</f>
        <v/>
      </c>
      <c r="H756" s="6" t="str">
        <f>IF(A756 = "", "", COUNTIF('Game Record'!H:H, A756))</f>
        <v/>
      </c>
      <c r="I756" s="2">
        <f>IFERROR(__xludf.DUMMYFUNCTION("SUM(FILTER(TeamARecordSet, INDEX(TeamARecordSet, 0, 1) = A756)) + SUM(FILTER(TeamBRecordSet, INDEX(TeamBRecordSet, 0, 1) = A756))"),0.0)</f>
        <v>0</v>
      </c>
      <c r="J756" s="2">
        <f t="shared" si="2"/>
        <v>0</v>
      </c>
      <c r="K756" s="2" t="str">
        <f t="shared" si="3"/>
        <v/>
      </c>
    </row>
    <row r="757">
      <c r="A757" s="2"/>
      <c r="B757" s="7"/>
      <c r="D757" s="5" t="str">
        <f>IF(A757 = "", "", COUNTIFS('Game Record'!G:G, A757, 'Game Record'!E:E, C757))</f>
        <v/>
      </c>
      <c r="E757" s="6" t="str">
        <f>IF(A757 = "", "", COUNTIFS('Game Record'!H:H, A757, 'Game Record'!E:E, C757))</f>
        <v/>
      </c>
      <c r="F757" s="2">
        <f t="shared" si="1"/>
        <v>0</v>
      </c>
      <c r="G757" s="1" t="str">
        <f>IF(A757 = "", "", COUNTIF('Game Record'!G:G, A757))</f>
        <v/>
      </c>
      <c r="H757" s="6" t="str">
        <f>IF(A757 = "", "", COUNTIF('Game Record'!H:H, A757))</f>
        <v/>
      </c>
      <c r="I757" s="2">
        <f>IFERROR(__xludf.DUMMYFUNCTION("SUM(FILTER(TeamARecordSet, INDEX(TeamARecordSet, 0, 1) = A757)) + SUM(FILTER(TeamBRecordSet, INDEX(TeamBRecordSet, 0, 1) = A757))"),0.0)</f>
        <v>0</v>
      </c>
      <c r="J757" s="2">
        <f t="shared" si="2"/>
        <v>0</v>
      </c>
      <c r="K757" s="2" t="str">
        <f t="shared" si="3"/>
        <v/>
      </c>
    </row>
    <row r="758">
      <c r="A758" s="2"/>
      <c r="B758" s="7"/>
      <c r="D758" s="5" t="str">
        <f>IF(A758 = "", "", COUNTIFS('Game Record'!G:G, A758, 'Game Record'!E:E, C758))</f>
        <v/>
      </c>
      <c r="E758" s="6" t="str">
        <f>IF(A758 = "", "", COUNTIFS('Game Record'!H:H, A758, 'Game Record'!E:E, C758))</f>
        <v/>
      </c>
      <c r="F758" s="2">
        <f t="shared" si="1"/>
        <v>0</v>
      </c>
      <c r="G758" s="1" t="str">
        <f>IF(A758 = "", "", COUNTIF('Game Record'!G:G, A758))</f>
        <v/>
      </c>
      <c r="H758" s="6" t="str">
        <f>IF(A758 = "", "", COUNTIF('Game Record'!H:H, A758))</f>
        <v/>
      </c>
      <c r="I758" s="2">
        <f>IFERROR(__xludf.DUMMYFUNCTION("SUM(FILTER(TeamARecordSet, INDEX(TeamARecordSet, 0, 1) = A758)) + SUM(FILTER(TeamBRecordSet, INDEX(TeamBRecordSet, 0, 1) = A758))"),0.0)</f>
        <v>0</v>
      </c>
      <c r="J758" s="2">
        <f t="shared" si="2"/>
        <v>0</v>
      </c>
      <c r="K758" s="2" t="str">
        <f t="shared" si="3"/>
        <v/>
      </c>
    </row>
    <row r="759">
      <c r="A759" s="2"/>
      <c r="B759" s="7"/>
      <c r="D759" s="5" t="str">
        <f>IF(A759 = "", "", COUNTIFS('Game Record'!G:G, A759, 'Game Record'!E:E, C759))</f>
        <v/>
      </c>
      <c r="E759" s="6" t="str">
        <f>IF(A759 = "", "", COUNTIFS('Game Record'!H:H, A759, 'Game Record'!E:E, C759))</f>
        <v/>
      </c>
      <c r="F759" s="2">
        <f t="shared" si="1"/>
        <v>0</v>
      </c>
      <c r="G759" s="1" t="str">
        <f>IF(A759 = "", "", COUNTIF('Game Record'!G:G, A759))</f>
        <v/>
      </c>
      <c r="H759" s="6" t="str">
        <f>IF(A759 = "", "", COUNTIF('Game Record'!H:H, A759))</f>
        <v/>
      </c>
      <c r="I759" s="2">
        <f>IFERROR(__xludf.DUMMYFUNCTION("SUM(FILTER(TeamARecordSet, INDEX(TeamARecordSet, 0, 1) = A759)) + SUM(FILTER(TeamBRecordSet, INDEX(TeamBRecordSet, 0, 1) = A759))"),0.0)</f>
        <v>0</v>
      </c>
      <c r="J759" s="2">
        <f t="shared" si="2"/>
        <v>0</v>
      </c>
      <c r="K759" s="2" t="str">
        <f t="shared" si="3"/>
        <v/>
      </c>
    </row>
    <row r="760">
      <c r="A760" s="2"/>
      <c r="B760" s="7"/>
      <c r="D760" s="5" t="str">
        <f>IF(A760 = "", "", COUNTIFS('Game Record'!G:G, A760, 'Game Record'!E:E, C760))</f>
        <v/>
      </c>
      <c r="E760" s="6" t="str">
        <f>IF(A760 = "", "", COUNTIFS('Game Record'!H:H, A760, 'Game Record'!E:E, C760))</f>
        <v/>
      </c>
      <c r="F760" s="2">
        <f t="shared" si="1"/>
        <v>0</v>
      </c>
      <c r="G760" s="1" t="str">
        <f>IF(A760 = "", "", COUNTIF('Game Record'!G:G, A760))</f>
        <v/>
      </c>
      <c r="H760" s="6" t="str">
        <f>IF(A760 = "", "", COUNTIF('Game Record'!H:H, A760))</f>
        <v/>
      </c>
      <c r="I760" s="2">
        <f>IFERROR(__xludf.DUMMYFUNCTION("SUM(FILTER(TeamARecordSet, INDEX(TeamARecordSet, 0, 1) = A760)) + SUM(FILTER(TeamBRecordSet, INDEX(TeamBRecordSet, 0, 1) = A760))"),0.0)</f>
        <v>0</v>
      </c>
      <c r="J760" s="2">
        <f t="shared" si="2"/>
        <v>0</v>
      </c>
      <c r="K760" s="2" t="str">
        <f t="shared" si="3"/>
        <v/>
      </c>
    </row>
    <row r="761">
      <c r="A761" s="2"/>
      <c r="B761" s="7"/>
      <c r="D761" s="5" t="str">
        <f>IF(A761 = "", "", COUNTIFS('Game Record'!G:G, A761, 'Game Record'!E:E, C761))</f>
        <v/>
      </c>
      <c r="E761" s="6" t="str">
        <f>IF(A761 = "", "", COUNTIFS('Game Record'!H:H, A761, 'Game Record'!E:E, C761))</f>
        <v/>
      </c>
      <c r="F761" s="2">
        <f t="shared" si="1"/>
        <v>0</v>
      </c>
      <c r="G761" s="1" t="str">
        <f>IF(A761 = "", "", COUNTIF('Game Record'!G:G, A761))</f>
        <v/>
      </c>
      <c r="H761" s="6" t="str">
        <f>IF(A761 = "", "", COUNTIF('Game Record'!H:H, A761))</f>
        <v/>
      </c>
      <c r="I761" s="2">
        <f>IFERROR(__xludf.DUMMYFUNCTION("SUM(FILTER(TeamARecordSet, INDEX(TeamARecordSet, 0, 1) = A761)) + SUM(FILTER(TeamBRecordSet, INDEX(TeamBRecordSet, 0, 1) = A761))"),0.0)</f>
        <v>0</v>
      </c>
      <c r="J761" s="2">
        <f t="shared" si="2"/>
        <v>0</v>
      </c>
      <c r="K761" s="2" t="str">
        <f t="shared" si="3"/>
        <v/>
      </c>
    </row>
    <row r="762">
      <c r="A762" s="2"/>
      <c r="B762" s="7"/>
      <c r="D762" s="5" t="str">
        <f>IF(A762 = "", "", COUNTIFS('Game Record'!G:G, A762, 'Game Record'!E:E, C762))</f>
        <v/>
      </c>
      <c r="E762" s="6" t="str">
        <f>IF(A762 = "", "", COUNTIFS('Game Record'!H:H, A762, 'Game Record'!E:E, C762))</f>
        <v/>
      </c>
      <c r="F762" s="2">
        <f t="shared" si="1"/>
        <v>0</v>
      </c>
      <c r="G762" s="1" t="str">
        <f>IF(A762 = "", "", COUNTIF('Game Record'!G:G, A762))</f>
        <v/>
      </c>
      <c r="H762" s="6" t="str">
        <f>IF(A762 = "", "", COUNTIF('Game Record'!H:H, A762))</f>
        <v/>
      </c>
      <c r="I762" s="2">
        <f>IFERROR(__xludf.DUMMYFUNCTION("SUM(FILTER(TeamARecordSet, INDEX(TeamARecordSet, 0, 1) = A762)) + SUM(FILTER(TeamBRecordSet, INDEX(TeamBRecordSet, 0, 1) = A762))"),0.0)</f>
        <v>0</v>
      </c>
      <c r="J762" s="2">
        <f t="shared" si="2"/>
        <v>0</v>
      </c>
      <c r="K762" s="2" t="str">
        <f t="shared" si="3"/>
        <v/>
      </c>
    </row>
    <row r="763">
      <c r="A763" s="2"/>
      <c r="B763" s="7"/>
      <c r="D763" s="5" t="str">
        <f>IF(A763 = "", "", COUNTIFS('Game Record'!G:G, A763, 'Game Record'!E:E, C763))</f>
        <v/>
      </c>
      <c r="E763" s="6" t="str">
        <f>IF(A763 = "", "", COUNTIFS('Game Record'!H:H, A763, 'Game Record'!E:E, C763))</f>
        <v/>
      </c>
      <c r="F763" s="2">
        <f t="shared" si="1"/>
        <v>0</v>
      </c>
      <c r="G763" s="1" t="str">
        <f>IF(A763 = "", "", COUNTIF('Game Record'!G:G, A763))</f>
        <v/>
      </c>
      <c r="H763" s="6" t="str">
        <f>IF(A763 = "", "", COUNTIF('Game Record'!H:H, A763))</f>
        <v/>
      </c>
      <c r="I763" s="2">
        <f>IFERROR(__xludf.DUMMYFUNCTION("SUM(FILTER(TeamARecordSet, INDEX(TeamARecordSet, 0, 1) = A763)) + SUM(FILTER(TeamBRecordSet, INDEX(TeamBRecordSet, 0, 1) = A763))"),0.0)</f>
        <v>0</v>
      </c>
      <c r="J763" s="2">
        <f t="shared" si="2"/>
        <v>0</v>
      </c>
      <c r="K763" s="2" t="str">
        <f t="shared" si="3"/>
        <v/>
      </c>
    </row>
    <row r="764">
      <c r="A764" s="2"/>
      <c r="B764" s="7"/>
      <c r="D764" s="5" t="str">
        <f>IF(A764 = "", "", COUNTIFS('Game Record'!G:G, A764, 'Game Record'!E:E, C764))</f>
        <v/>
      </c>
      <c r="E764" s="6" t="str">
        <f>IF(A764 = "", "", COUNTIFS('Game Record'!H:H, A764, 'Game Record'!E:E, C764))</f>
        <v/>
      </c>
      <c r="F764" s="2">
        <f t="shared" si="1"/>
        <v>0</v>
      </c>
      <c r="G764" s="1" t="str">
        <f>IF(A764 = "", "", COUNTIF('Game Record'!G:G, A764))</f>
        <v/>
      </c>
      <c r="H764" s="6" t="str">
        <f>IF(A764 = "", "", COUNTIF('Game Record'!H:H, A764))</f>
        <v/>
      </c>
      <c r="I764" s="2">
        <f>IFERROR(__xludf.DUMMYFUNCTION("SUM(FILTER(TeamARecordSet, INDEX(TeamARecordSet, 0, 1) = A764)) + SUM(FILTER(TeamBRecordSet, INDEX(TeamBRecordSet, 0, 1) = A764))"),0.0)</f>
        <v>0</v>
      </c>
      <c r="J764" s="2">
        <f t="shared" si="2"/>
        <v>0</v>
      </c>
      <c r="K764" s="2" t="str">
        <f t="shared" si="3"/>
        <v/>
      </c>
    </row>
    <row r="765">
      <c r="A765" s="2"/>
      <c r="B765" s="7"/>
      <c r="D765" s="5" t="str">
        <f>IF(A765 = "", "", COUNTIFS('Game Record'!G:G, A765, 'Game Record'!E:E, C765))</f>
        <v/>
      </c>
      <c r="E765" s="6" t="str">
        <f>IF(A765 = "", "", COUNTIFS('Game Record'!H:H, A765, 'Game Record'!E:E, C765))</f>
        <v/>
      </c>
      <c r="F765" s="2">
        <f t="shared" si="1"/>
        <v>0</v>
      </c>
      <c r="G765" s="1" t="str">
        <f>IF(A765 = "", "", COUNTIF('Game Record'!G:G, A765))</f>
        <v/>
      </c>
      <c r="H765" s="6" t="str">
        <f>IF(A765 = "", "", COUNTIF('Game Record'!H:H, A765))</f>
        <v/>
      </c>
      <c r="I765" s="2">
        <f>IFERROR(__xludf.DUMMYFUNCTION("SUM(FILTER(TeamARecordSet, INDEX(TeamARecordSet, 0, 1) = A765)) + SUM(FILTER(TeamBRecordSet, INDEX(TeamBRecordSet, 0, 1) = A765))"),0.0)</f>
        <v>0</v>
      </c>
      <c r="J765" s="2">
        <f t="shared" si="2"/>
        <v>0</v>
      </c>
      <c r="K765" s="2" t="str">
        <f t="shared" si="3"/>
        <v/>
      </c>
    </row>
    <row r="766">
      <c r="A766" s="2"/>
      <c r="B766" s="7"/>
      <c r="D766" s="5" t="str">
        <f>IF(A766 = "", "", COUNTIFS('Game Record'!G:G, A766, 'Game Record'!E:E, C766))</f>
        <v/>
      </c>
      <c r="E766" s="6" t="str">
        <f>IF(A766 = "", "", COUNTIFS('Game Record'!H:H, A766, 'Game Record'!E:E, C766))</f>
        <v/>
      </c>
      <c r="F766" s="2">
        <f t="shared" si="1"/>
        <v>0</v>
      </c>
      <c r="G766" s="1" t="str">
        <f>IF(A766 = "", "", COUNTIF('Game Record'!G:G, A766))</f>
        <v/>
      </c>
      <c r="H766" s="6" t="str">
        <f>IF(A766 = "", "", COUNTIF('Game Record'!H:H, A766))</f>
        <v/>
      </c>
      <c r="I766" s="2">
        <f>IFERROR(__xludf.DUMMYFUNCTION("SUM(FILTER(TeamARecordSet, INDEX(TeamARecordSet, 0, 1) = A766)) + SUM(FILTER(TeamBRecordSet, INDEX(TeamBRecordSet, 0, 1) = A766))"),0.0)</f>
        <v>0</v>
      </c>
      <c r="J766" s="2">
        <f t="shared" si="2"/>
        <v>0</v>
      </c>
      <c r="K766" s="2" t="str">
        <f t="shared" si="3"/>
        <v/>
      </c>
    </row>
    <row r="767">
      <c r="A767" s="2"/>
      <c r="B767" s="7"/>
      <c r="D767" s="5" t="str">
        <f>IF(A767 = "", "", COUNTIFS('Game Record'!G:G, A767, 'Game Record'!E:E, C767))</f>
        <v/>
      </c>
      <c r="E767" s="6" t="str">
        <f>IF(A767 = "", "", COUNTIFS('Game Record'!H:H, A767, 'Game Record'!E:E, C767))</f>
        <v/>
      </c>
      <c r="F767" s="2">
        <f t="shared" si="1"/>
        <v>0</v>
      </c>
      <c r="G767" s="1" t="str">
        <f>IF(A767 = "", "", COUNTIF('Game Record'!G:G, A767))</f>
        <v/>
      </c>
      <c r="H767" s="6" t="str">
        <f>IF(A767 = "", "", COUNTIF('Game Record'!H:H, A767))</f>
        <v/>
      </c>
      <c r="I767" s="2">
        <f>IFERROR(__xludf.DUMMYFUNCTION("SUM(FILTER(TeamARecordSet, INDEX(TeamARecordSet, 0, 1) = A767)) + SUM(FILTER(TeamBRecordSet, INDEX(TeamBRecordSet, 0, 1) = A767))"),0.0)</f>
        <v>0</v>
      </c>
      <c r="J767" s="2">
        <f t="shared" si="2"/>
        <v>0</v>
      </c>
      <c r="K767" s="2" t="str">
        <f t="shared" si="3"/>
        <v/>
      </c>
    </row>
    <row r="768">
      <c r="A768" s="2"/>
      <c r="B768" s="7"/>
      <c r="D768" s="5" t="str">
        <f>IF(A768 = "", "", COUNTIFS('Game Record'!G:G, A768, 'Game Record'!E:E, C768))</f>
        <v/>
      </c>
      <c r="E768" s="6" t="str">
        <f>IF(A768 = "", "", COUNTIFS('Game Record'!H:H, A768, 'Game Record'!E:E, C768))</f>
        <v/>
      </c>
      <c r="F768" s="2">
        <f t="shared" si="1"/>
        <v>0</v>
      </c>
      <c r="G768" s="1" t="str">
        <f>IF(A768 = "", "", COUNTIF('Game Record'!G:G, A768))</f>
        <v/>
      </c>
      <c r="H768" s="6" t="str">
        <f>IF(A768 = "", "", COUNTIF('Game Record'!H:H, A768))</f>
        <v/>
      </c>
      <c r="I768" s="2">
        <f>IFERROR(__xludf.DUMMYFUNCTION("SUM(FILTER(TeamARecordSet, INDEX(TeamARecordSet, 0, 1) = A768)) + SUM(FILTER(TeamBRecordSet, INDEX(TeamBRecordSet, 0, 1) = A768))"),0.0)</f>
        <v>0</v>
      </c>
      <c r="J768" s="2">
        <f t="shared" si="2"/>
        <v>0</v>
      </c>
      <c r="K768" s="2" t="str">
        <f t="shared" si="3"/>
        <v/>
      </c>
    </row>
    <row r="769">
      <c r="A769" s="2"/>
      <c r="B769" s="7"/>
      <c r="D769" s="5" t="str">
        <f>IF(A769 = "", "", COUNTIFS('Game Record'!G:G, A769, 'Game Record'!E:E, C769))</f>
        <v/>
      </c>
      <c r="E769" s="6" t="str">
        <f>IF(A769 = "", "", COUNTIFS('Game Record'!H:H, A769, 'Game Record'!E:E, C769))</f>
        <v/>
      </c>
      <c r="F769" s="2">
        <f t="shared" si="1"/>
        <v>0</v>
      </c>
      <c r="G769" s="1" t="str">
        <f>IF(A769 = "", "", COUNTIF('Game Record'!G:G, A769))</f>
        <v/>
      </c>
      <c r="H769" s="6" t="str">
        <f>IF(A769 = "", "", COUNTIF('Game Record'!H:H, A769))</f>
        <v/>
      </c>
      <c r="I769" s="2">
        <f>IFERROR(__xludf.DUMMYFUNCTION("SUM(FILTER(TeamARecordSet, INDEX(TeamARecordSet, 0, 1) = A769)) + SUM(FILTER(TeamBRecordSet, INDEX(TeamBRecordSet, 0, 1) = A769))"),0.0)</f>
        <v>0</v>
      </c>
      <c r="J769" s="2">
        <f t="shared" si="2"/>
        <v>0</v>
      </c>
      <c r="K769" s="2" t="str">
        <f t="shared" si="3"/>
        <v/>
      </c>
    </row>
    <row r="770">
      <c r="A770" s="2"/>
      <c r="B770" s="7"/>
      <c r="D770" s="5" t="str">
        <f>IF(A770 = "", "", COUNTIFS('Game Record'!G:G, A770, 'Game Record'!E:E, C770))</f>
        <v/>
      </c>
      <c r="E770" s="6" t="str">
        <f>IF(A770 = "", "", COUNTIFS('Game Record'!H:H, A770, 'Game Record'!E:E, C770))</f>
        <v/>
      </c>
      <c r="F770" s="2">
        <f t="shared" si="1"/>
        <v>0</v>
      </c>
      <c r="G770" s="1" t="str">
        <f>IF(A770 = "", "", COUNTIF('Game Record'!G:G, A770))</f>
        <v/>
      </c>
      <c r="H770" s="6" t="str">
        <f>IF(A770 = "", "", COUNTIF('Game Record'!H:H, A770))</f>
        <v/>
      </c>
      <c r="I770" s="2">
        <f>IFERROR(__xludf.DUMMYFUNCTION("SUM(FILTER(TeamARecordSet, INDEX(TeamARecordSet, 0, 1) = A770)) + SUM(FILTER(TeamBRecordSet, INDEX(TeamBRecordSet, 0, 1) = A770))"),0.0)</f>
        <v>0</v>
      </c>
      <c r="J770" s="2">
        <f t="shared" si="2"/>
        <v>0</v>
      </c>
      <c r="K770" s="2" t="str">
        <f t="shared" si="3"/>
        <v/>
      </c>
    </row>
    <row r="771">
      <c r="A771" s="2"/>
      <c r="B771" s="7"/>
      <c r="D771" s="5" t="str">
        <f>IF(A771 = "", "", COUNTIFS('Game Record'!G:G, A771, 'Game Record'!E:E, C771))</f>
        <v/>
      </c>
      <c r="E771" s="6" t="str">
        <f>IF(A771 = "", "", COUNTIFS('Game Record'!H:H, A771, 'Game Record'!E:E, C771))</f>
        <v/>
      </c>
      <c r="F771" s="2">
        <f t="shared" si="1"/>
        <v>0</v>
      </c>
      <c r="G771" s="1" t="str">
        <f>IF(A771 = "", "", COUNTIF('Game Record'!G:G, A771))</f>
        <v/>
      </c>
      <c r="H771" s="6" t="str">
        <f>IF(A771 = "", "", COUNTIF('Game Record'!H:H, A771))</f>
        <v/>
      </c>
      <c r="I771" s="2">
        <f>IFERROR(__xludf.DUMMYFUNCTION("SUM(FILTER(TeamARecordSet, INDEX(TeamARecordSet, 0, 1) = A771)) + SUM(FILTER(TeamBRecordSet, INDEX(TeamBRecordSet, 0, 1) = A771))"),0.0)</f>
        <v>0</v>
      </c>
      <c r="J771" s="2">
        <f t="shared" si="2"/>
        <v>0</v>
      </c>
      <c r="K771" s="2" t="str">
        <f t="shared" si="3"/>
        <v/>
      </c>
    </row>
    <row r="772">
      <c r="A772" s="2"/>
      <c r="B772" s="7"/>
      <c r="D772" s="5" t="str">
        <f>IF(A772 = "", "", COUNTIFS('Game Record'!G:G, A772, 'Game Record'!E:E, C772))</f>
        <v/>
      </c>
      <c r="E772" s="6" t="str">
        <f>IF(A772 = "", "", COUNTIFS('Game Record'!H:H, A772, 'Game Record'!E:E, C772))</f>
        <v/>
      </c>
      <c r="F772" s="2">
        <f t="shared" si="1"/>
        <v>0</v>
      </c>
      <c r="G772" s="1" t="str">
        <f>IF(A772 = "", "", COUNTIF('Game Record'!G:G, A772))</f>
        <v/>
      </c>
      <c r="H772" s="6" t="str">
        <f>IF(A772 = "", "", COUNTIF('Game Record'!H:H, A772))</f>
        <v/>
      </c>
      <c r="I772" s="2">
        <f>IFERROR(__xludf.DUMMYFUNCTION("SUM(FILTER(TeamARecordSet, INDEX(TeamARecordSet, 0, 1) = A772)) + SUM(FILTER(TeamBRecordSet, INDEX(TeamBRecordSet, 0, 1) = A772))"),0.0)</f>
        <v>0</v>
      </c>
      <c r="J772" s="2">
        <f t="shared" si="2"/>
        <v>0</v>
      </c>
      <c r="K772" s="2" t="str">
        <f t="shared" si="3"/>
        <v/>
      </c>
    </row>
    <row r="773">
      <c r="A773" s="2"/>
      <c r="B773" s="7"/>
      <c r="D773" s="5" t="str">
        <f>IF(A773 = "", "", COUNTIFS('Game Record'!G:G, A773, 'Game Record'!E:E, C773))</f>
        <v/>
      </c>
      <c r="E773" s="6" t="str">
        <f>IF(A773 = "", "", COUNTIFS('Game Record'!H:H, A773, 'Game Record'!E:E, C773))</f>
        <v/>
      </c>
      <c r="F773" s="2">
        <f t="shared" si="1"/>
        <v>0</v>
      </c>
      <c r="G773" s="1" t="str">
        <f>IF(A773 = "", "", COUNTIF('Game Record'!G:G, A773))</f>
        <v/>
      </c>
      <c r="H773" s="6" t="str">
        <f>IF(A773 = "", "", COUNTIF('Game Record'!H:H, A773))</f>
        <v/>
      </c>
      <c r="I773" s="2">
        <f>IFERROR(__xludf.DUMMYFUNCTION("SUM(FILTER(TeamARecordSet, INDEX(TeamARecordSet, 0, 1) = A773)) + SUM(FILTER(TeamBRecordSet, INDEX(TeamBRecordSet, 0, 1) = A773))"),0.0)</f>
        <v>0</v>
      </c>
      <c r="J773" s="2">
        <f t="shared" si="2"/>
        <v>0</v>
      </c>
      <c r="K773" s="2" t="str">
        <f t="shared" si="3"/>
        <v/>
      </c>
    </row>
    <row r="774">
      <c r="A774" s="2"/>
      <c r="B774" s="7"/>
      <c r="D774" s="5" t="str">
        <f>IF(A774 = "", "", COUNTIFS('Game Record'!G:G, A774, 'Game Record'!E:E, C774))</f>
        <v/>
      </c>
      <c r="E774" s="6" t="str">
        <f>IF(A774 = "", "", COUNTIFS('Game Record'!H:H, A774, 'Game Record'!E:E, C774))</f>
        <v/>
      </c>
      <c r="F774" s="2">
        <f t="shared" si="1"/>
        <v>0</v>
      </c>
      <c r="G774" s="1" t="str">
        <f>IF(A774 = "", "", COUNTIF('Game Record'!G:G, A774))</f>
        <v/>
      </c>
      <c r="H774" s="6" t="str">
        <f>IF(A774 = "", "", COUNTIF('Game Record'!H:H, A774))</f>
        <v/>
      </c>
      <c r="I774" s="2">
        <f>IFERROR(__xludf.DUMMYFUNCTION("SUM(FILTER(TeamARecordSet, INDEX(TeamARecordSet, 0, 1) = A774)) + SUM(FILTER(TeamBRecordSet, INDEX(TeamBRecordSet, 0, 1) = A774))"),0.0)</f>
        <v>0</v>
      </c>
      <c r="J774" s="2">
        <f t="shared" si="2"/>
        <v>0</v>
      </c>
      <c r="K774" s="2" t="str">
        <f t="shared" si="3"/>
        <v/>
      </c>
    </row>
    <row r="775">
      <c r="A775" s="2"/>
      <c r="B775" s="7"/>
      <c r="D775" s="5" t="str">
        <f>IF(A775 = "", "", COUNTIFS('Game Record'!G:G, A775, 'Game Record'!E:E, C775))</f>
        <v/>
      </c>
      <c r="E775" s="6" t="str">
        <f>IF(A775 = "", "", COUNTIFS('Game Record'!H:H, A775, 'Game Record'!E:E, C775))</f>
        <v/>
      </c>
      <c r="F775" s="2">
        <f t="shared" si="1"/>
        <v>0</v>
      </c>
      <c r="G775" s="1" t="str">
        <f>IF(A775 = "", "", COUNTIF('Game Record'!G:G, A775))</f>
        <v/>
      </c>
      <c r="H775" s="6" t="str">
        <f>IF(A775 = "", "", COUNTIF('Game Record'!H:H, A775))</f>
        <v/>
      </c>
      <c r="I775" s="2">
        <f>IFERROR(__xludf.DUMMYFUNCTION("SUM(FILTER(TeamARecordSet, INDEX(TeamARecordSet, 0, 1) = A775)) + SUM(FILTER(TeamBRecordSet, INDEX(TeamBRecordSet, 0, 1) = A775))"),0.0)</f>
        <v>0</v>
      </c>
      <c r="J775" s="2">
        <f t="shared" si="2"/>
        <v>0</v>
      </c>
      <c r="K775" s="2" t="str">
        <f t="shared" si="3"/>
        <v/>
      </c>
    </row>
    <row r="776">
      <c r="A776" s="2"/>
      <c r="B776" s="7"/>
      <c r="D776" s="5" t="str">
        <f>IF(A776 = "", "", COUNTIFS('Game Record'!G:G, A776, 'Game Record'!E:E, C776))</f>
        <v/>
      </c>
      <c r="E776" s="6" t="str">
        <f>IF(A776 = "", "", COUNTIFS('Game Record'!H:H, A776, 'Game Record'!E:E, C776))</f>
        <v/>
      </c>
      <c r="F776" s="2">
        <f t="shared" si="1"/>
        <v>0</v>
      </c>
      <c r="G776" s="1" t="str">
        <f>IF(A776 = "", "", COUNTIF('Game Record'!G:G, A776))</f>
        <v/>
      </c>
      <c r="H776" s="6" t="str">
        <f>IF(A776 = "", "", COUNTIF('Game Record'!H:H, A776))</f>
        <v/>
      </c>
      <c r="I776" s="2">
        <f>IFERROR(__xludf.DUMMYFUNCTION("SUM(FILTER(TeamARecordSet, INDEX(TeamARecordSet, 0, 1) = A776)) + SUM(FILTER(TeamBRecordSet, INDEX(TeamBRecordSet, 0, 1) = A776))"),0.0)</f>
        <v>0</v>
      </c>
      <c r="J776" s="2">
        <f t="shared" si="2"/>
        <v>0</v>
      </c>
      <c r="K776" s="2" t="str">
        <f t="shared" si="3"/>
        <v/>
      </c>
    </row>
    <row r="777">
      <c r="A777" s="2"/>
      <c r="B777" s="7"/>
      <c r="D777" s="5" t="str">
        <f>IF(A777 = "", "", COUNTIFS('Game Record'!G:G, A777, 'Game Record'!E:E, C777))</f>
        <v/>
      </c>
      <c r="E777" s="6" t="str">
        <f>IF(A777 = "", "", COUNTIFS('Game Record'!H:H, A777, 'Game Record'!E:E, C777))</f>
        <v/>
      </c>
      <c r="F777" s="2">
        <f t="shared" si="1"/>
        <v>0</v>
      </c>
      <c r="G777" s="1" t="str">
        <f>IF(A777 = "", "", COUNTIF('Game Record'!G:G, A777))</f>
        <v/>
      </c>
      <c r="H777" s="6" t="str">
        <f>IF(A777 = "", "", COUNTIF('Game Record'!H:H, A777))</f>
        <v/>
      </c>
      <c r="I777" s="2">
        <f>IFERROR(__xludf.DUMMYFUNCTION("SUM(FILTER(TeamARecordSet, INDEX(TeamARecordSet, 0, 1) = A777)) + SUM(FILTER(TeamBRecordSet, INDEX(TeamBRecordSet, 0, 1) = A777))"),0.0)</f>
        <v>0</v>
      </c>
      <c r="J777" s="2">
        <f t="shared" si="2"/>
        <v>0</v>
      </c>
      <c r="K777" s="2" t="str">
        <f t="shared" si="3"/>
        <v/>
      </c>
    </row>
    <row r="778">
      <c r="A778" s="2"/>
      <c r="B778" s="7"/>
      <c r="D778" s="5" t="str">
        <f>IF(A778 = "", "", COUNTIFS('Game Record'!G:G, A778, 'Game Record'!E:E, C778))</f>
        <v/>
      </c>
      <c r="E778" s="6" t="str">
        <f>IF(A778 = "", "", COUNTIFS('Game Record'!H:H, A778, 'Game Record'!E:E, C778))</f>
        <v/>
      </c>
      <c r="F778" s="2">
        <f t="shared" si="1"/>
        <v>0</v>
      </c>
      <c r="G778" s="1" t="str">
        <f>IF(A778 = "", "", COUNTIF('Game Record'!G:G, A778))</f>
        <v/>
      </c>
      <c r="H778" s="6" t="str">
        <f>IF(A778 = "", "", COUNTIF('Game Record'!H:H, A778))</f>
        <v/>
      </c>
      <c r="I778" s="2">
        <f>IFERROR(__xludf.DUMMYFUNCTION("SUM(FILTER(TeamARecordSet, INDEX(TeamARecordSet, 0, 1) = A778)) + SUM(FILTER(TeamBRecordSet, INDEX(TeamBRecordSet, 0, 1) = A778))"),0.0)</f>
        <v>0</v>
      </c>
      <c r="J778" s="2">
        <f t="shared" si="2"/>
        <v>0</v>
      </c>
      <c r="K778" s="2" t="str">
        <f t="shared" si="3"/>
        <v/>
      </c>
    </row>
    <row r="779">
      <c r="A779" s="2"/>
      <c r="B779" s="7"/>
      <c r="D779" s="5" t="str">
        <f>IF(A779 = "", "", COUNTIFS('Game Record'!G:G, A779, 'Game Record'!E:E, C779))</f>
        <v/>
      </c>
      <c r="E779" s="6" t="str">
        <f>IF(A779 = "", "", COUNTIFS('Game Record'!H:H, A779, 'Game Record'!E:E, C779))</f>
        <v/>
      </c>
      <c r="F779" s="2">
        <f t="shared" si="1"/>
        <v>0</v>
      </c>
      <c r="G779" s="1" t="str">
        <f>IF(A779 = "", "", COUNTIF('Game Record'!G:G, A779))</f>
        <v/>
      </c>
      <c r="H779" s="6" t="str">
        <f>IF(A779 = "", "", COUNTIF('Game Record'!H:H, A779))</f>
        <v/>
      </c>
      <c r="I779" s="2">
        <f>IFERROR(__xludf.DUMMYFUNCTION("SUM(FILTER(TeamARecordSet, INDEX(TeamARecordSet, 0, 1) = A779)) + SUM(FILTER(TeamBRecordSet, INDEX(TeamBRecordSet, 0, 1) = A779))"),0.0)</f>
        <v>0</v>
      </c>
      <c r="J779" s="2">
        <f t="shared" si="2"/>
        <v>0</v>
      </c>
      <c r="K779" s="2" t="str">
        <f t="shared" si="3"/>
        <v/>
      </c>
    </row>
    <row r="780">
      <c r="A780" s="2"/>
      <c r="B780" s="7"/>
      <c r="D780" s="5" t="str">
        <f>IF(A780 = "", "", COUNTIFS('Game Record'!G:G, A780, 'Game Record'!E:E, C780))</f>
        <v/>
      </c>
      <c r="E780" s="6" t="str">
        <f>IF(A780 = "", "", COUNTIFS('Game Record'!H:H, A780, 'Game Record'!E:E, C780))</f>
        <v/>
      </c>
      <c r="F780" s="2">
        <f t="shared" si="1"/>
        <v>0</v>
      </c>
      <c r="G780" s="1" t="str">
        <f>IF(A780 = "", "", COUNTIF('Game Record'!G:G, A780))</f>
        <v/>
      </c>
      <c r="H780" s="6" t="str">
        <f>IF(A780 = "", "", COUNTIF('Game Record'!H:H, A780))</f>
        <v/>
      </c>
      <c r="I780" s="2">
        <f>IFERROR(__xludf.DUMMYFUNCTION("SUM(FILTER(TeamARecordSet, INDEX(TeamARecordSet, 0, 1) = A780)) + SUM(FILTER(TeamBRecordSet, INDEX(TeamBRecordSet, 0, 1) = A780))"),0.0)</f>
        <v>0</v>
      </c>
      <c r="J780" s="2">
        <f t="shared" si="2"/>
        <v>0</v>
      </c>
      <c r="K780" s="2" t="str">
        <f t="shared" si="3"/>
        <v/>
      </c>
    </row>
    <row r="781">
      <c r="A781" s="2"/>
      <c r="B781" s="7"/>
      <c r="D781" s="5" t="str">
        <f>IF(A781 = "", "", COUNTIFS('Game Record'!G:G, A781, 'Game Record'!E:E, C781))</f>
        <v/>
      </c>
      <c r="E781" s="6" t="str">
        <f>IF(A781 = "", "", COUNTIFS('Game Record'!H:H, A781, 'Game Record'!E:E, C781))</f>
        <v/>
      </c>
      <c r="F781" s="2">
        <f t="shared" si="1"/>
        <v>0</v>
      </c>
      <c r="G781" s="1" t="str">
        <f>IF(A781 = "", "", COUNTIF('Game Record'!G:G, A781))</f>
        <v/>
      </c>
      <c r="H781" s="6" t="str">
        <f>IF(A781 = "", "", COUNTIF('Game Record'!H:H, A781))</f>
        <v/>
      </c>
      <c r="I781" s="2">
        <f>IFERROR(__xludf.DUMMYFUNCTION("SUM(FILTER(TeamARecordSet, INDEX(TeamARecordSet, 0, 1) = A781)) + SUM(FILTER(TeamBRecordSet, INDEX(TeamBRecordSet, 0, 1) = A781))"),0.0)</f>
        <v>0</v>
      </c>
      <c r="J781" s="2">
        <f t="shared" si="2"/>
        <v>0</v>
      </c>
      <c r="K781" s="2" t="str">
        <f t="shared" si="3"/>
        <v/>
      </c>
    </row>
    <row r="782">
      <c r="A782" s="2"/>
      <c r="B782" s="7"/>
      <c r="D782" s="5" t="str">
        <f>IF(A782 = "", "", COUNTIFS('Game Record'!G:G, A782, 'Game Record'!E:E, C782))</f>
        <v/>
      </c>
      <c r="E782" s="6" t="str">
        <f>IF(A782 = "", "", COUNTIFS('Game Record'!H:H, A782, 'Game Record'!E:E, C782))</f>
        <v/>
      </c>
      <c r="F782" s="2">
        <f t="shared" si="1"/>
        <v>0</v>
      </c>
      <c r="G782" s="1" t="str">
        <f>IF(A782 = "", "", COUNTIF('Game Record'!G:G, A782))</f>
        <v/>
      </c>
      <c r="H782" s="6" t="str">
        <f>IF(A782 = "", "", COUNTIF('Game Record'!H:H, A782))</f>
        <v/>
      </c>
      <c r="I782" s="2">
        <f>IFERROR(__xludf.DUMMYFUNCTION("SUM(FILTER(TeamARecordSet, INDEX(TeamARecordSet, 0, 1) = A782)) + SUM(FILTER(TeamBRecordSet, INDEX(TeamBRecordSet, 0, 1) = A782))"),0.0)</f>
        <v>0</v>
      </c>
      <c r="J782" s="2">
        <f t="shared" si="2"/>
        <v>0</v>
      </c>
      <c r="K782" s="2" t="str">
        <f t="shared" si="3"/>
        <v/>
      </c>
    </row>
    <row r="783">
      <c r="A783" s="2"/>
      <c r="B783" s="7"/>
      <c r="D783" s="5" t="str">
        <f>IF(A783 = "", "", COUNTIFS('Game Record'!G:G, A783, 'Game Record'!E:E, C783))</f>
        <v/>
      </c>
      <c r="E783" s="6" t="str">
        <f>IF(A783 = "", "", COUNTIFS('Game Record'!H:H, A783, 'Game Record'!E:E, C783))</f>
        <v/>
      </c>
      <c r="F783" s="2">
        <f t="shared" si="1"/>
        <v>0</v>
      </c>
      <c r="G783" s="1" t="str">
        <f>IF(A783 = "", "", COUNTIF('Game Record'!G:G, A783))</f>
        <v/>
      </c>
      <c r="H783" s="6" t="str">
        <f>IF(A783 = "", "", COUNTIF('Game Record'!H:H, A783))</f>
        <v/>
      </c>
      <c r="I783" s="2">
        <f>IFERROR(__xludf.DUMMYFUNCTION("SUM(FILTER(TeamARecordSet, INDEX(TeamARecordSet, 0, 1) = A783)) + SUM(FILTER(TeamBRecordSet, INDEX(TeamBRecordSet, 0, 1) = A783))"),0.0)</f>
        <v>0</v>
      </c>
      <c r="J783" s="2">
        <f t="shared" si="2"/>
        <v>0</v>
      </c>
      <c r="K783" s="2" t="str">
        <f t="shared" si="3"/>
        <v/>
      </c>
    </row>
    <row r="784">
      <c r="A784" s="2"/>
      <c r="B784" s="7"/>
      <c r="D784" s="5" t="str">
        <f>IF(A784 = "", "", COUNTIFS('Game Record'!G:G, A784, 'Game Record'!E:E, C784))</f>
        <v/>
      </c>
      <c r="E784" s="6" t="str">
        <f>IF(A784 = "", "", COUNTIFS('Game Record'!H:H, A784, 'Game Record'!E:E, C784))</f>
        <v/>
      </c>
      <c r="F784" s="2">
        <f t="shared" si="1"/>
        <v>0</v>
      </c>
      <c r="G784" s="1" t="str">
        <f>IF(A784 = "", "", COUNTIF('Game Record'!G:G, A784))</f>
        <v/>
      </c>
      <c r="H784" s="6" t="str">
        <f>IF(A784 = "", "", COUNTIF('Game Record'!H:H, A784))</f>
        <v/>
      </c>
      <c r="I784" s="2">
        <f>IFERROR(__xludf.DUMMYFUNCTION("SUM(FILTER(TeamARecordSet, INDEX(TeamARecordSet, 0, 1) = A784)) + SUM(FILTER(TeamBRecordSet, INDEX(TeamBRecordSet, 0, 1) = A784))"),0.0)</f>
        <v>0</v>
      </c>
      <c r="J784" s="2">
        <f t="shared" si="2"/>
        <v>0</v>
      </c>
      <c r="K784" s="2" t="str">
        <f t="shared" si="3"/>
        <v/>
      </c>
    </row>
    <row r="785">
      <c r="A785" s="2"/>
      <c r="B785" s="7"/>
      <c r="D785" s="5" t="str">
        <f>IF(A785 = "", "", COUNTIFS('Game Record'!G:G, A785, 'Game Record'!E:E, C785))</f>
        <v/>
      </c>
      <c r="E785" s="6" t="str">
        <f>IF(A785 = "", "", COUNTIFS('Game Record'!H:H, A785, 'Game Record'!E:E, C785))</f>
        <v/>
      </c>
      <c r="F785" s="2">
        <f t="shared" si="1"/>
        <v>0</v>
      </c>
      <c r="G785" s="1" t="str">
        <f>IF(A785 = "", "", COUNTIF('Game Record'!G:G, A785))</f>
        <v/>
      </c>
      <c r="H785" s="6" t="str">
        <f>IF(A785 = "", "", COUNTIF('Game Record'!H:H, A785))</f>
        <v/>
      </c>
      <c r="I785" s="2">
        <f>IFERROR(__xludf.DUMMYFUNCTION("SUM(FILTER(TeamARecordSet, INDEX(TeamARecordSet, 0, 1) = A785)) + SUM(FILTER(TeamBRecordSet, INDEX(TeamBRecordSet, 0, 1) = A785))"),0.0)</f>
        <v>0</v>
      </c>
      <c r="J785" s="2">
        <f t="shared" si="2"/>
        <v>0</v>
      </c>
      <c r="K785" s="2" t="str">
        <f t="shared" si="3"/>
        <v/>
      </c>
    </row>
    <row r="786">
      <c r="A786" s="2"/>
      <c r="B786" s="7"/>
      <c r="D786" s="5" t="str">
        <f>IF(A786 = "", "", COUNTIFS('Game Record'!G:G, A786, 'Game Record'!E:E, C786))</f>
        <v/>
      </c>
      <c r="E786" s="6" t="str">
        <f>IF(A786 = "", "", COUNTIFS('Game Record'!H:H, A786, 'Game Record'!E:E, C786))</f>
        <v/>
      </c>
      <c r="F786" s="2">
        <f t="shared" si="1"/>
        <v>0</v>
      </c>
      <c r="G786" s="1" t="str">
        <f>IF(A786 = "", "", COUNTIF('Game Record'!G:G, A786))</f>
        <v/>
      </c>
      <c r="H786" s="6" t="str">
        <f>IF(A786 = "", "", COUNTIF('Game Record'!H:H, A786))</f>
        <v/>
      </c>
      <c r="I786" s="2">
        <f>IFERROR(__xludf.DUMMYFUNCTION("SUM(FILTER(TeamARecordSet, INDEX(TeamARecordSet, 0, 1) = A786)) + SUM(FILTER(TeamBRecordSet, INDEX(TeamBRecordSet, 0, 1) = A786))"),0.0)</f>
        <v>0</v>
      </c>
      <c r="J786" s="2">
        <f t="shared" si="2"/>
        <v>0</v>
      </c>
      <c r="K786" s="2" t="str">
        <f t="shared" si="3"/>
        <v/>
      </c>
    </row>
    <row r="787">
      <c r="A787" s="2"/>
      <c r="B787" s="7"/>
      <c r="D787" s="5" t="str">
        <f>IF(A787 = "", "", COUNTIFS('Game Record'!G:G, A787, 'Game Record'!E:E, C787))</f>
        <v/>
      </c>
      <c r="E787" s="6" t="str">
        <f>IF(A787 = "", "", COUNTIFS('Game Record'!H:H, A787, 'Game Record'!E:E, C787))</f>
        <v/>
      </c>
      <c r="F787" s="2">
        <f t="shared" si="1"/>
        <v>0</v>
      </c>
      <c r="G787" s="1" t="str">
        <f>IF(A787 = "", "", COUNTIF('Game Record'!G:G, A787))</f>
        <v/>
      </c>
      <c r="H787" s="6" t="str">
        <f>IF(A787 = "", "", COUNTIF('Game Record'!H:H, A787))</f>
        <v/>
      </c>
      <c r="I787" s="2">
        <f>IFERROR(__xludf.DUMMYFUNCTION("SUM(FILTER(TeamARecordSet, INDEX(TeamARecordSet, 0, 1) = A787)) + SUM(FILTER(TeamBRecordSet, INDEX(TeamBRecordSet, 0, 1) = A787))"),0.0)</f>
        <v>0</v>
      </c>
      <c r="J787" s="2">
        <f t="shared" si="2"/>
        <v>0</v>
      </c>
      <c r="K787" s="2" t="str">
        <f t="shared" si="3"/>
        <v/>
      </c>
    </row>
    <row r="788">
      <c r="A788" s="2"/>
      <c r="B788" s="7"/>
      <c r="D788" s="5" t="str">
        <f>IF(A788 = "", "", COUNTIFS('Game Record'!G:G, A788, 'Game Record'!E:E, C788))</f>
        <v/>
      </c>
      <c r="E788" s="6" t="str">
        <f>IF(A788 = "", "", COUNTIFS('Game Record'!H:H, A788, 'Game Record'!E:E, C788))</f>
        <v/>
      </c>
      <c r="F788" s="2">
        <f t="shared" si="1"/>
        <v>0</v>
      </c>
      <c r="G788" s="1" t="str">
        <f>IF(A788 = "", "", COUNTIF('Game Record'!G:G, A788))</f>
        <v/>
      </c>
      <c r="H788" s="6" t="str">
        <f>IF(A788 = "", "", COUNTIF('Game Record'!H:H, A788))</f>
        <v/>
      </c>
      <c r="I788" s="2">
        <f>IFERROR(__xludf.DUMMYFUNCTION("SUM(FILTER(TeamARecordSet, INDEX(TeamARecordSet, 0, 1) = A788)) + SUM(FILTER(TeamBRecordSet, INDEX(TeamBRecordSet, 0, 1) = A788))"),0.0)</f>
        <v>0</v>
      </c>
      <c r="J788" s="2">
        <f t="shared" si="2"/>
        <v>0</v>
      </c>
      <c r="K788" s="2" t="str">
        <f t="shared" si="3"/>
        <v/>
      </c>
    </row>
    <row r="789">
      <c r="A789" s="2"/>
      <c r="B789" s="7"/>
      <c r="D789" s="5" t="str">
        <f>IF(A789 = "", "", COUNTIFS('Game Record'!G:G, A789, 'Game Record'!E:E, C789))</f>
        <v/>
      </c>
      <c r="E789" s="6" t="str">
        <f>IF(A789 = "", "", COUNTIFS('Game Record'!H:H, A789, 'Game Record'!E:E, C789))</f>
        <v/>
      </c>
      <c r="F789" s="2">
        <f t="shared" si="1"/>
        <v>0</v>
      </c>
      <c r="G789" s="1" t="str">
        <f>IF(A789 = "", "", COUNTIF('Game Record'!G:G, A789))</f>
        <v/>
      </c>
      <c r="H789" s="6" t="str">
        <f>IF(A789 = "", "", COUNTIF('Game Record'!H:H, A789))</f>
        <v/>
      </c>
      <c r="I789" s="2">
        <f>IFERROR(__xludf.DUMMYFUNCTION("SUM(FILTER(TeamARecordSet, INDEX(TeamARecordSet, 0, 1) = A789)) + SUM(FILTER(TeamBRecordSet, INDEX(TeamBRecordSet, 0, 1) = A789))"),0.0)</f>
        <v>0</v>
      </c>
      <c r="J789" s="2">
        <f t="shared" si="2"/>
        <v>0</v>
      </c>
      <c r="K789" s="2" t="str">
        <f t="shared" si="3"/>
        <v/>
      </c>
    </row>
    <row r="790">
      <c r="A790" s="2"/>
      <c r="B790" s="7"/>
      <c r="D790" s="5" t="str">
        <f>IF(A790 = "", "", COUNTIFS('Game Record'!G:G, A790, 'Game Record'!E:E, C790))</f>
        <v/>
      </c>
      <c r="E790" s="6" t="str">
        <f>IF(A790 = "", "", COUNTIFS('Game Record'!H:H, A790, 'Game Record'!E:E, C790))</f>
        <v/>
      </c>
      <c r="F790" s="2">
        <f t="shared" si="1"/>
        <v>0</v>
      </c>
      <c r="G790" s="1" t="str">
        <f>IF(A790 = "", "", COUNTIF('Game Record'!G:G, A790))</f>
        <v/>
      </c>
      <c r="H790" s="6" t="str">
        <f>IF(A790 = "", "", COUNTIF('Game Record'!H:H, A790))</f>
        <v/>
      </c>
      <c r="I790" s="2">
        <f>IFERROR(__xludf.DUMMYFUNCTION("SUM(FILTER(TeamARecordSet, INDEX(TeamARecordSet, 0, 1) = A790)) + SUM(FILTER(TeamBRecordSet, INDEX(TeamBRecordSet, 0, 1) = A790))"),0.0)</f>
        <v>0</v>
      </c>
      <c r="J790" s="2">
        <f t="shared" si="2"/>
        <v>0</v>
      </c>
      <c r="K790" s="2" t="str">
        <f t="shared" si="3"/>
        <v/>
      </c>
    </row>
    <row r="791">
      <c r="A791" s="2"/>
      <c r="B791" s="7"/>
      <c r="D791" s="5" t="str">
        <f>IF(A791 = "", "", COUNTIFS('Game Record'!G:G, A791, 'Game Record'!E:E, C791))</f>
        <v/>
      </c>
      <c r="E791" s="6" t="str">
        <f>IF(A791 = "", "", COUNTIFS('Game Record'!H:H, A791, 'Game Record'!E:E, C791))</f>
        <v/>
      </c>
      <c r="F791" s="2">
        <f t="shared" si="1"/>
        <v>0</v>
      </c>
      <c r="G791" s="1" t="str">
        <f>IF(A791 = "", "", COUNTIF('Game Record'!G:G, A791))</f>
        <v/>
      </c>
      <c r="H791" s="6" t="str">
        <f>IF(A791 = "", "", COUNTIF('Game Record'!H:H, A791))</f>
        <v/>
      </c>
      <c r="I791" s="2">
        <f>IFERROR(__xludf.DUMMYFUNCTION("SUM(FILTER(TeamARecordSet, INDEX(TeamARecordSet, 0, 1) = A791)) + SUM(FILTER(TeamBRecordSet, INDEX(TeamBRecordSet, 0, 1) = A791))"),0.0)</f>
        <v>0</v>
      </c>
      <c r="J791" s="2">
        <f t="shared" si="2"/>
        <v>0</v>
      </c>
      <c r="K791" s="2" t="str">
        <f t="shared" si="3"/>
        <v/>
      </c>
    </row>
    <row r="792">
      <c r="A792" s="2"/>
      <c r="B792" s="7"/>
      <c r="D792" s="5" t="str">
        <f>IF(A792 = "", "", COUNTIFS('Game Record'!G:G, A792, 'Game Record'!E:E, C792))</f>
        <v/>
      </c>
      <c r="E792" s="6" t="str">
        <f>IF(A792 = "", "", COUNTIFS('Game Record'!H:H, A792, 'Game Record'!E:E, C792))</f>
        <v/>
      </c>
      <c r="F792" s="2">
        <f t="shared" si="1"/>
        <v>0</v>
      </c>
      <c r="G792" s="1" t="str">
        <f>IF(A792 = "", "", COUNTIF('Game Record'!G:G, A792))</f>
        <v/>
      </c>
      <c r="H792" s="6" t="str">
        <f>IF(A792 = "", "", COUNTIF('Game Record'!H:H, A792))</f>
        <v/>
      </c>
      <c r="I792" s="2">
        <f>IFERROR(__xludf.DUMMYFUNCTION("SUM(FILTER(TeamARecordSet, INDEX(TeamARecordSet, 0, 1) = A792)) + SUM(FILTER(TeamBRecordSet, INDEX(TeamBRecordSet, 0, 1) = A792))"),0.0)</f>
        <v>0</v>
      </c>
      <c r="J792" s="2">
        <f t="shared" si="2"/>
        <v>0</v>
      </c>
      <c r="K792" s="2" t="str">
        <f t="shared" si="3"/>
        <v/>
      </c>
    </row>
    <row r="793">
      <c r="A793" s="2"/>
      <c r="B793" s="7"/>
      <c r="D793" s="5" t="str">
        <f>IF(A793 = "", "", COUNTIFS('Game Record'!G:G, A793, 'Game Record'!E:E, C793))</f>
        <v/>
      </c>
      <c r="E793" s="6" t="str">
        <f>IF(A793 = "", "", COUNTIFS('Game Record'!H:H, A793, 'Game Record'!E:E, C793))</f>
        <v/>
      </c>
      <c r="F793" s="2">
        <f t="shared" si="1"/>
        <v>0</v>
      </c>
      <c r="G793" s="1" t="str">
        <f>IF(A793 = "", "", COUNTIF('Game Record'!G:G, A793))</f>
        <v/>
      </c>
      <c r="H793" s="6" t="str">
        <f>IF(A793 = "", "", COUNTIF('Game Record'!H:H, A793))</f>
        <v/>
      </c>
      <c r="I793" s="2">
        <f>IFERROR(__xludf.DUMMYFUNCTION("SUM(FILTER(TeamARecordSet, INDEX(TeamARecordSet, 0, 1) = A793)) + SUM(FILTER(TeamBRecordSet, INDEX(TeamBRecordSet, 0, 1) = A793))"),0.0)</f>
        <v>0</v>
      </c>
      <c r="J793" s="2">
        <f t="shared" si="2"/>
        <v>0</v>
      </c>
      <c r="K793" s="2" t="str">
        <f t="shared" si="3"/>
        <v/>
      </c>
    </row>
    <row r="794">
      <c r="A794" s="2"/>
      <c r="B794" s="7"/>
      <c r="D794" s="5" t="str">
        <f>IF(A794 = "", "", COUNTIFS('Game Record'!G:G, A794, 'Game Record'!E:E, C794))</f>
        <v/>
      </c>
      <c r="E794" s="6" t="str">
        <f>IF(A794 = "", "", COUNTIFS('Game Record'!H:H, A794, 'Game Record'!E:E, C794))</f>
        <v/>
      </c>
      <c r="F794" s="2">
        <f t="shared" si="1"/>
        <v>0</v>
      </c>
      <c r="G794" s="1" t="str">
        <f>IF(A794 = "", "", COUNTIF('Game Record'!G:G, A794))</f>
        <v/>
      </c>
      <c r="H794" s="6" t="str">
        <f>IF(A794 = "", "", COUNTIF('Game Record'!H:H, A794))</f>
        <v/>
      </c>
      <c r="I794" s="2">
        <f>IFERROR(__xludf.DUMMYFUNCTION("SUM(FILTER(TeamARecordSet, INDEX(TeamARecordSet, 0, 1) = A794)) + SUM(FILTER(TeamBRecordSet, INDEX(TeamBRecordSet, 0, 1) = A794))"),0.0)</f>
        <v>0</v>
      </c>
      <c r="J794" s="2">
        <f t="shared" si="2"/>
        <v>0</v>
      </c>
      <c r="K794" s="2" t="str">
        <f t="shared" si="3"/>
        <v/>
      </c>
    </row>
    <row r="795">
      <c r="A795" s="2"/>
      <c r="B795" s="7"/>
      <c r="D795" s="5" t="str">
        <f>IF(A795 = "", "", COUNTIFS('Game Record'!G:G, A795, 'Game Record'!E:E, C795))</f>
        <v/>
      </c>
      <c r="E795" s="6" t="str">
        <f>IF(A795 = "", "", COUNTIFS('Game Record'!H:H, A795, 'Game Record'!E:E, C795))</f>
        <v/>
      </c>
      <c r="F795" s="2">
        <f t="shared" si="1"/>
        <v>0</v>
      </c>
      <c r="G795" s="1" t="str">
        <f>IF(A795 = "", "", COUNTIF('Game Record'!G:G, A795))</f>
        <v/>
      </c>
      <c r="H795" s="6" t="str">
        <f>IF(A795 = "", "", COUNTIF('Game Record'!H:H, A795))</f>
        <v/>
      </c>
      <c r="I795" s="2">
        <f>IFERROR(__xludf.DUMMYFUNCTION("SUM(FILTER(TeamARecordSet, INDEX(TeamARecordSet, 0, 1) = A795)) + SUM(FILTER(TeamBRecordSet, INDEX(TeamBRecordSet, 0, 1) = A795))"),0.0)</f>
        <v>0</v>
      </c>
      <c r="J795" s="2">
        <f t="shared" si="2"/>
        <v>0</v>
      </c>
      <c r="K795" s="2" t="str">
        <f t="shared" si="3"/>
        <v/>
      </c>
    </row>
    <row r="796">
      <c r="A796" s="2"/>
      <c r="B796" s="7"/>
      <c r="D796" s="5" t="str">
        <f>IF(A796 = "", "", COUNTIFS('Game Record'!G:G, A796, 'Game Record'!E:E, C796))</f>
        <v/>
      </c>
      <c r="E796" s="6" t="str">
        <f>IF(A796 = "", "", COUNTIFS('Game Record'!H:H, A796, 'Game Record'!E:E, C796))</f>
        <v/>
      </c>
      <c r="F796" s="2">
        <f t="shared" si="1"/>
        <v>0</v>
      </c>
      <c r="G796" s="1" t="str">
        <f>IF(A796 = "", "", COUNTIF('Game Record'!G:G, A796))</f>
        <v/>
      </c>
      <c r="H796" s="6" t="str">
        <f>IF(A796 = "", "", COUNTIF('Game Record'!H:H, A796))</f>
        <v/>
      </c>
      <c r="I796" s="2">
        <f>IFERROR(__xludf.DUMMYFUNCTION("SUM(FILTER(TeamARecordSet, INDEX(TeamARecordSet, 0, 1) = A796)) + SUM(FILTER(TeamBRecordSet, INDEX(TeamBRecordSet, 0, 1) = A796))"),0.0)</f>
        <v>0</v>
      </c>
      <c r="J796" s="2">
        <f t="shared" si="2"/>
        <v>0</v>
      </c>
      <c r="K796" s="2" t="str">
        <f t="shared" si="3"/>
        <v/>
      </c>
    </row>
    <row r="797">
      <c r="A797" s="2"/>
      <c r="B797" s="7"/>
      <c r="D797" s="5" t="str">
        <f>IF(A797 = "", "", COUNTIFS('Game Record'!G:G, A797, 'Game Record'!E:E, C797))</f>
        <v/>
      </c>
      <c r="E797" s="6" t="str">
        <f>IF(A797 = "", "", COUNTIFS('Game Record'!H:H, A797, 'Game Record'!E:E, C797))</f>
        <v/>
      </c>
      <c r="F797" s="2">
        <f t="shared" si="1"/>
        <v>0</v>
      </c>
      <c r="G797" s="1" t="str">
        <f>IF(A797 = "", "", COUNTIF('Game Record'!G:G, A797))</f>
        <v/>
      </c>
      <c r="H797" s="6" t="str">
        <f>IF(A797 = "", "", COUNTIF('Game Record'!H:H, A797))</f>
        <v/>
      </c>
      <c r="I797" s="2">
        <f>IFERROR(__xludf.DUMMYFUNCTION("SUM(FILTER(TeamARecordSet, INDEX(TeamARecordSet, 0, 1) = A797)) + SUM(FILTER(TeamBRecordSet, INDEX(TeamBRecordSet, 0, 1) = A797))"),0.0)</f>
        <v>0</v>
      </c>
      <c r="J797" s="2">
        <f t="shared" si="2"/>
        <v>0</v>
      </c>
      <c r="K797" s="2" t="str">
        <f t="shared" si="3"/>
        <v/>
      </c>
    </row>
    <row r="798">
      <c r="A798" s="2"/>
      <c r="B798" s="7"/>
      <c r="D798" s="5" t="str">
        <f>IF(A798 = "", "", COUNTIFS('Game Record'!G:G, A798, 'Game Record'!E:E, C798))</f>
        <v/>
      </c>
      <c r="E798" s="6" t="str">
        <f>IF(A798 = "", "", COUNTIFS('Game Record'!H:H, A798, 'Game Record'!E:E, C798))</f>
        <v/>
      </c>
      <c r="F798" s="2">
        <f t="shared" si="1"/>
        <v>0</v>
      </c>
      <c r="G798" s="1" t="str">
        <f>IF(A798 = "", "", COUNTIF('Game Record'!G:G, A798))</f>
        <v/>
      </c>
      <c r="H798" s="6" t="str">
        <f>IF(A798 = "", "", COUNTIF('Game Record'!H:H, A798))</f>
        <v/>
      </c>
      <c r="I798" s="2">
        <f>IFERROR(__xludf.DUMMYFUNCTION("SUM(FILTER(TeamARecordSet, INDEX(TeamARecordSet, 0, 1) = A798)) + SUM(FILTER(TeamBRecordSet, INDEX(TeamBRecordSet, 0, 1) = A798))"),0.0)</f>
        <v>0</v>
      </c>
      <c r="J798" s="2">
        <f t="shared" si="2"/>
        <v>0</v>
      </c>
      <c r="K798" s="2" t="str">
        <f t="shared" si="3"/>
        <v/>
      </c>
    </row>
    <row r="799">
      <c r="A799" s="2"/>
      <c r="B799" s="7"/>
      <c r="D799" s="5" t="str">
        <f>IF(A799 = "", "", COUNTIFS('Game Record'!G:G, A799, 'Game Record'!E:E, C799))</f>
        <v/>
      </c>
      <c r="E799" s="6" t="str">
        <f>IF(A799 = "", "", COUNTIFS('Game Record'!H:H, A799, 'Game Record'!E:E, C799))</f>
        <v/>
      </c>
      <c r="F799" s="2">
        <f t="shared" si="1"/>
        <v>0</v>
      </c>
      <c r="G799" s="1" t="str">
        <f>IF(A799 = "", "", COUNTIF('Game Record'!G:G, A799))</f>
        <v/>
      </c>
      <c r="H799" s="6" t="str">
        <f>IF(A799 = "", "", COUNTIF('Game Record'!H:H, A799))</f>
        <v/>
      </c>
      <c r="I799" s="2">
        <f>IFERROR(__xludf.DUMMYFUNCTION("SUM(FILTER(TeamARecordSet, INDEX(TeamARecordSet, 0, 1) = A799)) + SUM(FILTER(TeamBRecordSet, INDEX(TeamBRecordSet, 0, 1) = A799))"),0.0)</f>
        <v>0</v>
      </c>
      <c r="J799" s="2">
        <f t="shared" si="2"/>
        <v>0</v>
      </c>
      <c r="K799" s="2" t="str">
        <f t="shared" si="3"/>
        <v/>
      </c>
    </row>
    <row r="800">
      <c r="A800" s="2"/>
      <c r="B800" s="7"/>
      <c r="D800" s="5" t="str">
        <f>IF(A800 = "", "", COUNTIFS('Game Record'!G:G, A800, 'Game Record'!E:E, C800))</f>
        <v/>
      </c>
      <c r="E800" s="6" t="str">
        <f>IF(A800 = "", "", COUNTIFS('Game Record'!H:H, A800, 'Game Record'!E:E, C800))</f>
        <v/>
      </c>
      <c r="F800" s="2">
        <f t="shared" si="1"/>
        <v>0</v>
      </c>
      <c r="G800" s="1" t="str">
        <f>IF(A800 = "", "", COUNTIF('Game Record'!G:G, A800))</f>
        <v/>
      </c>
      <c r="H800" s="6" t="str">
        <f>IF(A800 = "", "", COUNTIF('Game Record'!H:H, A800))</f>
        <v/>
      </c>
      <c r="I800" s="2">
        <f>IFERROR(__xludf.DUMMYFUNCTION("SUM(FILTER(TeamARecordSet, INDEX(TeamARecordSet, 0, 1) = A800)) + SUM(FILTER(TeamBRecordSet, INDEX(TeamBRecordSet, 0, 1) = A800))"),0.0)</f>
        <v>0</v>
      </c>
      <c r="J800" s="2">
        <f t="shared" si="2"/>
        <v>0</v>
      </c>
      <c r="K800" s="2" t="str">
        <f t="shared" si="3"/>
        <v/>
      </c>
    </row>
    <row r="801">
      <c r="A801" s="2"/>
      <c r="B801" s="7"/>
      <c r="D801" s="5" t="str">
        <f>IF(A801 = "", "", COUNTIFS('Game Record'!G:G, A801, 'Game Record'!E:E, C801))</f>
        <v/>
      </c>
      <c r="E801" s="6" t="str">
        <f>IF(A801 = "", "", COUNTIFS('Game Record'!H:H, A801, 'Game Record'!E:E, C801))</f>
        <v/>
      </c>
      <c r="F801" s="2">
        <f t="shared" si="1"/>
        <v>0</v>
      </c>
      <c r="G801" s="1" t="str">
        <f>IF(A801 = "", "", COUNTIF('Game Record'!G:G, A801))</f>
        <v/>
      </c>
      <c r="H801" s="6" t="str">
        <f>IF(A801 = "", "", COUNTIF('Game Record'!H:H, A801))</f>
        <v/>
      </c>
      <c r="I801" s="2">
        <f>IFERROR(__xludf.DUMMYFUNCTION("SUM(FILTER(TeamARecordSet, INDEX(TeamARecordSet, 0, 1) = A801)) + SUM(FILTER(TeamBRecordSet, INDEX(TeamBRecordSet, 0, 1) = A801))"),0.0)</f>
        <v>0</v>
      </c>
      <c r="J801" s="2">
        <f t="shared" si="2"/>
        <v>0</v>
      </c>
      <c r="K801" s="2" t="str">
        <f t="shared" si="3"/>
        <v/>
      </c>
    </row>
    <row r="802">
      <c r="A802" s="2"/>
      <c r="B802" s="7"/>
      <c r="D802" s="5" t="str">
        <f>IF(A802 = "", "", COUNTIFS('Game Record'!G:G, A802, 'Game Record'!E:E, C802))</f>
        <v/>
      </c>
      <c r="E802" s="6" t="str">
        <f>IF(A802 = "", "", COUNTIFS('Game Record'!H:H, A802, 'Game Record'!E:E, C802))</f>
        <v/>
      </c>
      <c r="F802" s="2">
        <f t="shared" si="1"/>
        <v>0</v>
      </c>
      <c r="G802" s="1" t="str">
        <f>IF(A802 = "", "", COUNTIF('Game Record'!G:G, A802))</f>
        <v/>
      </c>
      <c r="H802" s="6" t="str">
        <f>IF(A802 = "", "", COUNTIF('Game Record'!H:H, A802))</f>
        <v/>
      </c>
      <c r="I802" s="2">
        <f>IFERROR(__xludf.DUMMYFUNCTION("SUM(FILTER(TeamARecordSet, INDEX(TeamARecordSet, 0, 1) = A802)) + SUM(FILTER(TeamBRecordSet, INDEX(TeamBRecordSet, 0, 1) = A802))"),0.0)</f>
        <v>0</v>
      </c>
      <c r="J802" s="2">
        <f t="shared" si="2"/>
        <v>0</v>
      </c>
      <c r="K802" s="2" t="str">
        <f t="shared" si="3"/>
        <v/>
      </c>
    </row>
    <row r="803">
      <c r="A803" s="2"/>
      <c r="B803" s="7"/>
      <c r="D803" s="5" t="str">
        <f>IF(A803 = "", "", COUNTIFS('Game Record'!G:G, A803, 'Game Record'!E:E, C803))</f>
        <v/>
      </c>
      <c r="E803" s="6" t="str">
        <f>IF(A803 = "", "", COUNTIFS('Game Record'!H:H, A803, 'Game Record'!E:E, C803))</f>
        <v/>
      </c>
      <c r="F803" s="2">
        <f t="shared" si="1"/>
        <v>0</v>
      </c>
      <c r="G803" s="1" t="str">
        <f>IF(A803 = "", "", COUNTIF('Game Record'!G:G, A803))</f>
        <v/>
      </c>
      <c r="H803" s="6" t="str">
        <f>IF(A803 = "", "", COUNTIF('Game Record'!H:H, A803))</f>
        <v/>
      </c>
      <c r="I803" s="2">
        <f>IFERROR(__xludf.DUMMYFUNCTION("SUM(FILTER(TeamARecordSet, INDEX(TeamARecordSet, 0, 1) = A803)) + SUM(FILTER(TeamBRecordSet, INDEX(TeamBRecordSet, 0, 1) = A803))"),0.0)</f>
        <v>0</v>
      </c>
      <c r="J803" s="2">
        <f t="shared" si="2"/>
        <v>0</v>
      </c>
      <c r="K803" s="2" t="str">
        <f t="shared" si="3"/>
        <v/>
      </c>
    </row>
    <row r="804">
      <c r="A804" s="2"/>
      <c r="B804" s="7"/>
      <c r="D804" s="5" t="str">
        <f>IF(A804 = "", "", COUNTIFS('Game Record'!G:G, A804, 'Game Record'!E:E, C804))</f>
        <v/>
      </c>
      <c r="E804" s="6" t="str">
        <f>IF(A804 = "", "", COUNTIFS('Game Record'!H:H, A804, 'Game Record'!E:E, C804))</f>
        <v/>
      </c>
      <c r="F804" s="2">
        <f t="shared" si="1"/>
        <v>0</v>
      </c>
      <c r="G804" s="1" t="str">
        <f>IF(A804 = "", "", COUNTIF('Game Record'!G:G, A804))</f>
        <v/>
      </c>
      <c r="H804" s="6" t="str">
        <f>IF(A804 = "", "", COUNTIF('Game Record'!H:H, A804))</f>
        <v/>
      </c>
      <c r="I804" s="2">
        <f>IFERROR(__xludf.DUMMYFUNCTION("SUM(FILTER(TeamARecordSet, INDEX(TeamARecordSet, 0, 1) = A804)) + SUM(FILTER(TeamBRecordSet, INDEX(TeamBRecordSet, 0, 1) = A804))"),0.0)</f>
        <v>0</v>
      </c>
      <c r="J804" s="2">
        <f t="shared" si="2"/>
        <v>0</v>
      </c>
      <c r="K804" s="2" t="str">
        <f t="shared" si="3"/>
        <v/>
      </c>
    </row>
    <row r="805">
      <c r="A805" s="2"/>
      <c r="B805" s="7"/>
      <c r="D805" s="5" t="str">
        <f>IF(A805 = "", "", COUNTIFS('Game Record'!G:G, A805, 'Game Record'!E:E, C805))</f>
        <v/>
      </c>
      <c r="E805" s="6" t="str">
        <f>IF(A805 = "", "", COUNTIFS('Game Record'!H:H, A805, 'Game Record'!E:E, C805))</f>
        <v/>
      </c>
      <c r="F805" s="2">
        <f t="shared" si="1"/>
        <v>0</v>
      </c>
      <c r="G805" s="1" t="str">
        <f>IF(A805 = "", "", COUNTIF('Game Record'!G:G, A805))</f>
        <v/>
      </c>
      <c r="H805" s="6" t="str">
        <f>IF(A805 = "", "", COUNTIF('Game Record'!H:H, A805))</f>
        <v/>
      </c>
      <c r="I805" s="2">
        <f>IFERROR(__xludf.DUMMYFUNCTION("SUM(FILTER(TeamARecordSet, INDEX(TeamARecordSet, 0, 1) = A805)) + SUM(FILTER(TeamBRecordSet, INDEX(TeamBRecordSet, 0, 1) = A805))"),0.0)</f>
        <v>0</v>
      </c>
      <c r="J805" s="2">
        <f t="shared" si="2"/>
        <v>0</v>
      </c>
      <c r="K805" s="2" t="str">
        <f t="shared" si="3"/>
        <v/>
      </c>
    </row>
    <row r="806">
      <c r="A806" s="2"/>
      <c r="B806" s="7"/>
      <c r="D806" s="5" t="str">
        <f>IF(A806 = "", "", COUNTIFS('Game Record'!G:G, A806, 'Game Record'!E:E, C806))</f>
        <v/>
      </c>
      <c r="E806" s="6" t="str">
        <f>IF(A806 = "", "", COUNTIFS('Game Record'!H:H, A806, 'Game Record'!E:E, C806))</f>
        <v/>
      </c>
      <c r="F806" s="2">
        <f t="shared" si="1"/>
        <v>0</v>
      </c>
      <c r="G806" s="1" t="str">
        <f>IF(A806 = "", "", COUNTIF('Game Record'!G:G, A806))</f>
        <v/>
      </c>
      <c r="H806" s="6" t="str">
        <f>IF(A806 = "", "", COUNTIF('Game Record'!H:H, A806))</f>
        <v/>
      </c>
      <c r="I806" s="2">
        <f>IFERROR(__xludf.DUMMYFUNCTION("SUM(FILTER(TeamARecordSet, INDEX(TeamARecordSet, 0, 1) = A806)) + SUM(FILTER(TeamBRecordSet, INDEX(TeamBRecordSet, 0, 1) = A806))"),0.0)</f>
        <v>0</v>
      </c>
      <c r="J806" s="2">
        <f t="shared" si="2"/>
        <v>0</v>
      </c>
      <c r="K806" s="2" t="str">
        <f t="shared" si="3"/>
        <v/>
      </c>
    </row>
    <row r="807">
      <c r="A807" s="2"/>
      <c r="B807" s="7"/>
      <c r="D807" s="5" t="str">
        <f>IF(A807 = "", "", COUNTIFS('Game Record'!G:G, A807, 'Game Record'!E:E, C807))</f>
        <v/>
      </c>
      <c r="E807" s="6" t="str">
        <f>IF(A807 = "", "", COUNTIFS('Game Record'!H:H, A807, 'Game Record'!E:E, C807))</f>
        <v/>
      </c>
      <c r="F807" s="2">
        <f t="shared" si="1"/>
        <v>0</v>
      </c>
      <c r="G807" s="1" t="str">
        <f>IF(A807 = "", "", COUNTIF('Game Record'!G:G, A807))</f>
        <v/>
      </c>
      <c r="H807" s="6" t="str">
        <f>IF(A807 = "", "", COUNTIF('Game Record'!H:H, A807))</f>
        <v/>
      </c>
      <c r="I807" s="2">
        <f>IFERROR(__xludf.DUMMYFUNCTION("SUM(FILTER(TeamARecordSet, INDEX(TeamARecordSet, 0, 1) = A807)) + SUM(FILTER(TeamBRecordSet, INDEX(TeamBRecordSet, 0, 1) = A807))"),0.0)</f>
        <v>0</v>
      </c>
      <c r="J807" s="2">
        <f t="shared" si="2"/>
        <v>0</v>
      </c>
      <c r="K807" s="2" t="str">
        <f t="shared" si="3"/>
        <v/>
      </c>
    </row>
    <row r="808">
      <c r="A808" s="2"/>
      <c r="B808" s="7"/>
      <c r="D808" s="5" t="str">
        <f>IF(A808 = "", "", COUNTIFS('Game Record'!G:G, A808, 'Game Record'!E:E, C808))</f>
        <v/>
      </c>
      <c r="E808" s="6" t="str">
        <f>IF(A808 = "", "", COUNTIFS('Game Record'!H:H, A808, 'Game Record'!E:E, C808))</f>
        <v/>
      </c>
      <c r="F808" s="2">
        <f t="shared" si="1"/>
        <v>0</v>
      </c>
      <c r="G808" s="1" t="str">
        <f>IF(A808 = "", "", COUNTIF('Game Record'!G:G, A808))</f>
        <v/>
      </c>
      <c r="H808" s="6" t="str">
        <f>IF(A808 = "", "", COUNTIF('Game Record'!H:H, A808))</f>
        <v/>
      </c>
      <c r="I808" s="2">
        <f>IFERROR(__xludf.DUMMYFUNCTION("SUM(FILTER(TeamARecordSet, INDEX(TeamARecordSet, 0, 1) = A808)) + SUM(FILTER(TeamBRecordSet, INDEX(TeamBRecordSet, 0, 1) = A808))"),0.0)</f>
        <v>0</v>
      </c>
      <c r="J808" s="2">
        <f t="shared" si="2"/>
        <v>0</v>
      </c>
      <c r="K808" s="2" t="str">
        <f t="shared" si="3"/>
        <v/>
      </c>
    </row>
    <row r="809">
      <c r="A809" s="2"/>
      <c r="B809" s="7"/>
      <c r="D809" s="5" t="str">
        <f>IF(A809 = "", "", COUNTIFS('Game Record'!G:G, A809, 'Game Record'!E:E, C809))</f>
        <v/>
      </c>
      <c r="E809" s="6" t="str">
        <f>IF(A809 = "", "", COUNTIFS('Game Record'!H:H, A809, 'Game Record'!E:E, C809))</f>
        <v/>
      </c>
      <c r="F809" s="2">
        <f t="shared" si="1"/>
        <v>0</v>
      </c>
      <c r="G809" s="1" t="str">
        <f>IF(A809 = "", "", COUNTIF('Game Record'!G:G, A809))</f>
        <v/>
      </c>
      <c r="H809" s="6" t="str">
        <f>IF(A809 = "", "", COUNTIF('Game Record'!H:H, A809))</f>
        <v/>
      </c>
      <c r="I809" s="2">
        <f>IFERROR(__xludf.DUMMYFUNCTION("SUM(FILTER(TeamARecordSet, INDEX(TeamARecordSet, 0, 1) = A809)) + SUM(FILTER(TeamBRecordSet, INDEX(TeamBRecordSet, 0, 1) = A809))"),0.0)</f>
        <v>0</v>
      </c>
      <c r="J809" s="2">
        <f t="shared" si="2"/>
        <v>0</v>
      </c>
      <c r="K809" s="2" t="str">
        <f t="shared" si="3"/>
        <v/>
      </c>
    </row>
    <row r="810">
      <c r="A810" s="2"/>
      <c r="B810" s="7"/>
      <c r="D810" s="5" t="str">
        <f>IF(A810 = "", "", COUNTIFS('Game Record'!G:G, A810, 'Game Record'!E:E, C810))</f>
        <v/>
      </c>
      <c r="E810" s="6" t="str">
        <f>IF(A810 = "", "", COUNTIFS('Game Record'!H:H, A810, 'Game Record'!E:E, C810))</f>
        <v/>
      </c>
      <c r="F810" s="2">
        <f t="shared" si="1"/>
        <v>0</v>
      </c>
      <c r="G810" s="1" t="str">
        <f>IF(A810 = "", "", COUNTIF('Game Record'!G:G, A810))</f>
        <v/>
      </c>
      <c r="H810" s="6" t="str">
        <f>IF(A810 = "", "", COUNTIF('Game Record'!H:H, A810))</f>
        <v/>
      </c>
      <c r="I810" s="2">
        <f>IFERROR(__xludf.DUMMYFUNCTION("SUM(FILTER(TeamARecordSet, INDEX(TeamARecordSet, 0, 1) = A810)) + SUM(FILTER(TeamBRecordSet, INDEX(TeamBRecordSet, 0, 1) = A810))"),0.0)</f>
        <v>0</v>
      </c>
      <c r="J810" s="2">
        <f t="shared" si="2"/>
        <v>0</v>
      </c>
      <c r="K810" s="2" t="str">
        <f t="shared" si="3"/>
        <v/>
      </c>
    </row>
    <row r="811">
      <c r="A811" s="2"/>
      <c r="B811" s="7"/>
      <c r="D811" s="5" t="str">
        <f>IF(A811 = "", "", COUNTIFS('Game Record'!G:G, A811, 'Game Record'!E:E, C811))</f>
        <v/>
      </c>
      <c r="E811" s="6" t="str">
        <f>IF(A811 = "", "", COUNTIFS('Game Record'!H:H, A811, 'Game Record'!E:E, C811))</f>
        <v/>
      </c>
      <c r="F811" s="2">
        <f t="shared" si="1"/>
        <v>0</v>
      </c>
      <c r="G811" s="1" t="str">
        <f>IF(A811 = "", "", COUNTIF('Game Record'!G:G, A811))</f>
        <v/>
      </c>
      <c r="H811" s="6" t="str">
        <f>IF(A811 = "", "", COUNTIF('Game Record'!H:H, A811))</f>
        <v/>
      </c>
      <c r="I811" s="2">
        <f>IFERROR(__xludf.DUMMYFUNCTION("SUM(FILTER(TeamARecordSet, INDEX(TeamARecordSet, 0, 1) = A811)) + SUM(FILTER(TeamBRecordSet, INDEX(TeamBRecordSet, 0, 1) = A811))"),0.0)</f>
        <v>0</v>
      </c>
      <c r="J811" s="2">
        <f t="shared" si="2"/>
        <v>0</v>
      </c>
      <c r="K811" s="2" t="str">
        <f t="shared" si="3"/>
        <v/>
      </c>
    </row>
    <row r="812">
      <c r="A812" s="2"/>
      <c r="B812" s="7"/>
      <c r="D812" s="5" t="str">
        <f>IF(A812 = "", "", COUNTIFS('Game Record'!G:G, A812, 'Game Record'!E:E, C812))</f>
        <v/>
      </c>
      <c r="E812" s="6" t="str">
        <f>IF(A812 = "", "", COUNTIFS('Game Record'!H:H, A812, 'Game Record'!E:E, C812))</f>
        <v/>
      </c>
      <c r="F812" s="2">
        <f t="shared" si="1"/>
        <v>0</v>
      </c>
      <c r="G812" s="1" t="str">
        <f>IF(A812 = "", "", COUNTIF('Game Record'!G:G, A812))</f>
        <v/>
      </c>
      <c r="H812" s="6" t="str">
        <f>IF(A812 = "", "", COUNTIF('Game Record'!H:H, A812))</f>
        <v/>
      </c>
      <c r="I812" s="2">
        <f>IFERROR(__xludf.DUMMYFUNCTION("SUM(FILTER(TeamARecordSet, INDEX(TeamARecordSet, 0, 1) = A812)) + SUM(FILTER(TeamBRecordSet, INDEX(TeamBRecordSet, 0, 1) = A812))"),0.0)</f>
        <v>0</v>
      </c>
      <c r="J812" s="2">
        <f t="shared" si="2"/>
        <v>0</v>
      </c>
      <c r="K812" s="2" t="str">
        <f t="shared" si="3"/>
        <v/>
      </c>
    </row>
    <row r="813">
      <c r="A813" s="2"/>
      <c r="B813" s="7"/>
      <c r="D813" s="5" t="str">
        <f>IF(A813 = "", "", COUNTIFS('Game Record'!G:G, A813, 'Game Record'!E:E, C813))</f>
        <v/>
      </c>
      <c r="E813" s="6" t="str">
        <f>IF(A813 = "", "", COUNTIFS('Game Record'!H:H, A813, 'Game Record'!E:E, C813))</f>
        <v/>
      </c>
      <c r="F813" s="2">
        <f t="shared" si="1"/>
        <v>0</v>
      </c>
      <c r="G813" s="1" t="str">
        <f>IF(A813 = "", "", COUNTIF('Game Record'!G:G, A813))</f>
        <v/>
      </c>
      <c r="H813" s="6" t="str">
        <f>IF(A813 = "", "", COUNTIF('Game Record'!H:H, A813))</f>
        <v/>
      </c>
      <c r="I813" s="2">
        <f>IFERROR(__xludf.DUMMYFUNCTION("SUM(FILTER(TeamARecordSet, INDEX(TeamARecordSet, 0, 1) = A813)) + SUM(FILTER(TeamBRecordSet, INDEX(TeamBRecordSet, 0, 1) = A813))"),0.0)</f>
        <v>0</v>
      </c>
      <c r="J813" s="2">
        <f t="shared" si="2"/>
        <v>0</v>
      </c>
      <c r="K813" s="2" t="str">
        <f t="shared" si="3"/>
        <v/>
      </c>
    </row>
    <row r="814">
      <c r="A814" s="2"/>
      <c r="B814" s="7"/>
      <c r="D814" s="5" t="str">
        <f>IF(A814 = "", "", COUNTIFS('Game Record'!G:G, A814, 'Game Record'!E:E, C814))</f>
        <v/>
      </c>
      <c r="E814" s="6" t="str">
        <f>IF(A814 = "", "", COUNTIFS('Game Record'!H:H, A814, 'Game Record'!E:E, C814))</f>
        <v/>
      </c>
      <c r="F814" s="2">
        <f t="shared" si="1"/>
        <v>0</v>
      </c>
      <c r="G814" s="1" t="str">
        <f>IF(A814 = "", "", COUNTIF('Game Record'!G:G, A814))</f>
        <v/>
      </c>
      <c r="H814" s="6" t="str">
        <f>IF(A814 = "", "", COUNTIF('Game Record'!H:H, A814))</f>
        <v/>
      </c>
      <c r="I814" s="2">
        <f>IFERROR(__xludf.DUMMYFUNCTION("SUM(FILTER(TeamARecordSet, INDEX(TeamARecordSet, 0, 1) = A814)) + SUM(FILTER(TeamBRecordSet, INDEX(TeamBRecordSet, 0, 1) = A814))"),0.0)</f>
        <v>0</v>
      </c>
      <c r="J814" s="2">
        <f t="shared" si="2"/>
        <v>0</v>
      </c>
      <c r="K814" s="2" t="str">
        <f t="shared" si="3"/>
        <v/>
      </c>
    </row>
    <row r="815">
      <c r="A815" s="2"/>
      <c r="B815" s="7"/>
      <c r="D815" s="5" t="str">
        <f>IF(A815 = "", "", COUNTIFS('Game Record'!G:G, A815, 'Game Record'!E:E, C815))</f>
        <v/>
      </c>
      <c r="E815" s="6" t="str">
        <f>IF(A815 = "", "", COUNTIFS('Game Record'!H:H, A815, 'Game Record'!E:E, C815))</f>
        <v/>
      </c>
      <c r="F815" s="2">
        <f t="shared" si="1"/>
        <v>0</v>
      </c>
      <c r="G815" s="1" t="str">
        <f>IF(A815 = "", "", COUNTIF('Game Record'!G:G, A815))</f>
        <v/>
      </c>
      <c r="H815" s="6" t="str">
        <f>IF(A815 = "", "", COUNTIF('Game Record'!H:H, A815))</f>
        <v/>
      </c>
      <c r="I815" s="2">
        <f>IFERROR(__xludf.DUMMYFUNCTION("SUM(FILTER(TeamARecordSet, INDEX(TeamARecordSet, 0, 1) = A815)) + SUM(FILTER(TeamBRecordSet, INDEX(TeamBRecordSet, 0, 1) = A815))"),0.0)</f>
        <v>0</v>
      </c>
      <c r="J815" s="2">
        <f t="shared" si="2"/>
        <v>0</v>
      </c>
      <c r="K815" s="2" t="str">
        <f t="shared" si="3"/>
        <v/>
      </c>
    </row>
    <row r="816">
      <c r="A816" s="2"/>
      <c r="B816" s="7"/>
      <c r="D816" s="5" t="str">
        <f>IF(A816 = "", "", COUNTIFS('Game Record'!G:G, A816, 'Game Record'!E:E, C816))</f>
        <v/>
      </c>
      <c r="E816" s="6" t="str">
        <f>IF(A816 = "", "", COUNTIFS('Game Record'!H:H, A816, 'Game Record'!E:E, C816))</f>
        <v/>
      </c>
      <c r="F816" s="2">
        <f t="shared" si="1"/>
        <v>0</v>
      </c>
      <c r="G816" s="1" t="str">
        <f>IF(A816 = "", "", COUNTIF('Game Record'!G:G, A816))</f>
        <v/>
      </c>
      <c r="H816" s="6" t="str">
        <f>IF(A816 = "", "", COUNTIF('Game Record'!H:H, A816))</f>
        <v/>
      </c>
      <c r="I816" s="2">
        <f>IFERROR(__xludf.DUMMYFUNCTION("SUM(FILTER(TeamARecordSet, INDEX(TeamARecordSet, 0, 1) = A816)) + SUM(FILTER(TeamBRecordSet, INDEX(TeamBRecordSet, 0, 1) = A816))"),0.0)</f>
        <v>0</v>
      </c>
      <c r="J816" s="2">
        <f t="shared" si="2"/>
        <v>0</v>
      </c>
      <c r="K816" s="2" t="str">
        <f t="shared" si="3"/>
        <v/>
      </c>
    </row>
    <row r="817">
      <c r="A817" s="2"/>
      <c r="B817" s="7"/>
      <c r="D817" s="5" t="str">
        <f>IF(A817 = "", "", COUNTIFS('Game Record'!G:G, A817, 'Game Record'!E:E, C817))</f>
        <v/>
      </c>
      <c r="E817" s="6" t="str">
        <f>IF(A817 = "", "", COUNTIFS('Game Record'!H:H, A817, 'Game Record'!E:E, C817))</f>
        <v/>
      </c>
      <c r="F817" s="2">
        <f t="shared" si="1"/>
        <v>0</v>
      </c>
      <c r="G817" s="1" t="str">
        <f>IF(A817 = "", "", COUNTIF('Game Record'!G:G, A817))</f>
        <v/>
      </c>
      <c r="H817" s="6" t="str">
        <f>IF(A817 = "", "", COUNTIF('Game Record'!H:H, A817))</f>
        <v/>
      </c>
      <c r="I817" s="2">
        <f>IFERROR(__xludf.DUMMYFUNCTION("SUM(FILTER(TeamARecordSet, INDEX(TeamARecordSet, 0, 1) = A817)) + SUM(FILTER(TeamBRecordSet, INDEX(TeamBRecordSet, 0, 1) = A817))"),0.0)</f>
        <v>0</v>
      </c>
      <c r="J817" s="2">
        <f t="shared" si="2"/>
        <v>0</v>
      </c>
      <c r="K817" s="2" t="str">
        <f t="shared" si="3"/>
        <v/>
      </c>
    </row>
    <row r="818">
      <c r="A818" s="2"/>
      <c r="B818" s="7"/>
      <c r="D818" s="5" t="str">
        <f>IF(A818 = "", "", COUNTIFS('Game Record'!G:G, A818, 'Game Record'!E:E, C818))</f>
        <v/>
      </c>
      <c r="E818" s="6" t="str">
        <f>IF(A818 = "", "", COUNTIFS('Game Record'!H:H, A818, 'Game Record'!E:E, C818))</f>
        <v/>
      </c>
      <c r="F818" s="2">
        <f t="shared" si="1"/>
        <v>0</v>
      </c>
      <c r="G818" s="1" t="str">
        <f>IF(A818 = "", "", COUNTIF('Game Record'!G:G, A818))</f>
        <v/>
      </c>
      <c r="H818" s="6" t="str">
        <f>IF(A818 = "", "", COUNTIF('Game Record'!H:H, A818))</f>
        <v/>
      </c>
      <c r="I818" s="2">
        <f>IFERROR(__xludf.DUMMYFUNCTION("SUM(FILTER(TeamARecordSet, INDEX(TeamARecordSet, 0, 1) = A818)) + SUM(FILTER(TeamBRecordSet, INDEX(TeamBRecordSet, 0, 1) = A818))"),0.0)</f>
        <v>0</v>
      </c>
      <c r="J818" s="2">
        <f t="shared" si="2"/>
        <v>0</v>
      </c>
      <c r="K818" s="2" t="str">
        <f t="shared" si="3"/>
        <v/>
      </c>
    </row>
    <row r="819">
      <c r="A819" s="2"/>
      <c r="B819" s="7"/>
      <c r="D819" s="5" t="str">
        <f>IF(A819 = "", "", COUNTIFS('Game Record'!G:G, A819, 'Game Record'!E:E, C819))</f>
        <v/>
      </c>
      <c r="E819" s="6" t="str">
        <f>IF(A819 = "", "", COUNTIFS('Game Record'!H:H, A819, 'Game Record'!E:E, C819))</f>
        <v/>
      </c>
      <c r="F819" s="2">
        <f t="shared" si="1"/>
        <v>0</v>
      </c>
      <c r="G819" s="1" t="str">
        <f>IF(A819 = "", "", COUNTIF('Game Record'!G:G, A819))</f>
        <v/>
      </c>
      <c r="H819" s="6" t="str">
        <f>IF(A819 = "", "", COUNTIF('Game Record'!H:H, A819))</f>
        <v/>
      </c>
      <c r="I819" s="2">
        <f>IFERROR(__xludf.DUMMYFUNCTION("SUM(FILTER(TeamARecordSet, INDEX(TeamARecordSet, 0, 1) = A819)) + SUM(FILTER(TeamBRecordSet, INDEX(TeamBRecordSet, 0, 1) = A819))"),0.0)</f>
        <v>0</v>
      </c>
      <c r="J819" s="2">
        <f t="shared" si="2"/>
        <v>0</v>
      </c>
      <c r="K819" s="2" t="str">
        <f t="shared" si="3"/>
        <v/>
      </c>
    </row>
    <row r="820">
      <c r="A820" s="2"/>
      <c r="B820" s="7"/>
      <c r="D820" s="5" t="str">
        <f>IF(A820 = "", "", COUNTIFS('Game Record'!G:G, A820, 'Game Record'!E:E, C820))</f>
        <v/>
      </c>
      <c r="E820" s="6" t="str">
        <f>IF(A820 = "", "", COUNTIFS('Game Record'!H:H, A820, 'Game Record'!E:E, C820))</f>
        <v/>
      </c>
      <c r="F820" s="2">
        <f t="shared" si="1"/>
        <v>0</v>
      </c>
      <c r="G820" s="1" t="str">
        <f>IF(A820 = "", "", COUNTIF('Game Record'!G:G, A820))</f>
        <v/>
      </c>
      <c r="H820" s="6" t="str">
        <f>IF(A820 = "", "", COUNTIF('Game Record'!H:H, A820))</f>
        <v/>
      </c>
      <c r="I820" s="2">
        <f>IFERROR(__xludf.DUMMYFUNCTION("SUM(FILTER(TeamARecordSet, INDEX(TeamARecordSet, 0, 1) = A820)) + SUM(FILTER(TeamBRecordSet, INDEX(TeamBRecordSet, 0, 1) = A820))"),0.0)</f>
        <v>0</v>
      </c>
      <c r="J820" s="2">
        <f t="shared" si="2"/>
        <v>0</v>
      </c>
      <c r="K820" s="2" t="str">
        <f t="shared" si="3"/>
        <v/>
      </c>
    </row>
    <row r="821">
      <c r="A821" s="2"/>
      <c r="B821" s="7"/>
      <c r="D821" s="5" t="str">
        <f>IF(A821 = "", "", COUNTIFS('Game Record'!G:G, A821, 'Game Record'!E:E, C821))</f>
        <v/>
      </c>
      <c r="E821" s="6" t="str">
        <f>IF(A821 = "", "", COUNTIFS('Game Record'!H:H, A821, 'Game Record'!E:E, C821))</f>
        <v/>
      </c>
      <c r="F821" s="2">
        <f t="shared" si="1"/>
        <v>0</v>
      </c>
      <c r="G821" s="1" t="str">
        <f>IF(A821 = "", "", COUNTIF('Game Record'!G:G, A821))</f>
        <v/>
      </c>
      <c r="H821" s="6" t="str">
        <f>IF(A821 = "", "", COUNTIF('Game Record'!H:H, A821))</f>
        <v/>
      </c>
      <c r="I821" s="2">
        <f>IFERROR(__xludf.DUMMYFUNCTION("SUM(FILTER(TeamARecordSet, INDEX(TeamARecordSet, 0, 1) = A821)) + SUM(FILTER(TeamBRecordSet, INDEX(TeamBRecordSet, 0, 1) = A821))"),0.0)</f>
        <v>0</v>
      </c>
      <c r="J821" s="2">
        <f t="shared" si="2"/>
        <v>0</v>
      </c>
      <c r="K821" s="2" t="str">
        <f t="shared" si="3"/>
        <v/>
      </c>
    </row>
    <row r="822">
      <c r="A822" s="2"/>
      <c r="B822" s="7"/>
      <c r="D822" s="5" t="str">
        <f>IF(A822 = "", "", COUNTIFS('Game Record'!G:G, A822, 'Game Record'!E:E, C822))</f>
        <v/>
      </c>
      <c r="E822" s="6" t="str">
        <f>IF(A822 = "", "", COUNTIFS('Game Record'!H:H, A822, 'Game Record'!E:E, C822))</f>
        <v/>
      </c>
      <c r="F822" s="2">
        <f t="shared" si="1"/>
        <v>0</v>
      </c>
      <c r="G822" s="1" t="str">
        <f>IF(A822 = "", "", COUNTIF('Game Record'!G:G, A822))</f>
        <v/>
      </c>
      <c r="H822" s="6" t="str">
        <f>IF(A822 = "", "", COUNTIF('Game Record'!H:H, A822))</f>
        <v/>
      </c>
      <c r="I822" s="2">
        <f>IFERROR(__xludf.DUMMYFUNCTION("SUM(FILTER(TeamARecordSet, INDEX(TeamARecordSet, 0, 1) = A822)) + SUM(FILTER(TeamBRecordSet, INDEX(TeamBRecordSet, 0, 1) = A822))"),0.0)</f>
        <v>0</v>
      </c>
      <c r="J822" s="2">
        <f t="shared" si="2"/>
        <v>0</v>
      </c>
      <c r="K822" s="2" t="str">
        <f t="shared" si="3"/>
        <v/>
      </c>
    </row>
    <row r="823">
      <c r="A823" s="2"/>
      <c r="B823" s="7"/>
      <c r="D823" s="5" t="str">
        <f>IF(A823 = "", "", COUNTIFS('Game Record'!G:G, A823, 'Game Record'!E:E, C823))</f>
        <v/>
      </c>
      <c r="E823" s="6" t="str">
        <f>IF(A823 = "", "", COUNTIFS('Game Record'!H:H, A823, 'Game Record'!E:E, C823))</f>
        <v/>
      </c>
      <c r="F823" s="2">
        <f t="shared" si="1"/>
        <v>0</v>
      </c>
      <c r="G823" s="1" t="str">
        <f>IF(A823 = "", "", COUNTIF('Game Record'!G:G, A823))</f>
        <v/>
      </c>
      <c r="H823" s="6" t="str">
        <f>IF(A823 = "", "", COUNTIF('Game Record'!H:H, A823))</f>
        <v/>
      </c>
      <c r="I823" s="2">
        <f>IFERROR(__xludf.DUMMYFUNCTION("SUM(FILTER(TeamARecordSet, INDEX(TeamARecordSet, 0, 1) = A823)) + SUM(FILTER(TeamBRecordSet, INDEX(TeamBRecordSet, 0, 1) = A823))"),0.0)</f>
        <v>0</v>
      </c>
      <c r="J823" s="2">
        <f t="shared" si="2"/>
        <v>0</v>
      </c>
      <c r="K823" s="2" t="str">
        <f t="shared" si="3"/>
        <v/>
      </c>
    </row>
    <row r="824">
      <c r="A824" s="2"/>
      <c r="B824" s="7"/>
      <c r="D824" s="5" t="str">
        <f>IF(A824 = "", "", COUNTIFS('Game Record'!G:G, A824, 'Game Record'!E:E, C824))</f>
        <v/>
      </c>
      <c r="E824" s="6" t="str">
        <f>IF(A824 = "", "", COUNTIFS('Game Record'!H:H, A824, 'Game Record'!E:E, C824))</f>
        <v/>
      </c>
      <c r="F824" s="2">
        <f t="shared" si="1"/>
        <v>0</v>
      </c>
      <c r="G824" s="1" t="str">
        <f>IF(A824 = "", "", COUNTIF('Game Record'!G:G, A824))</f>
        <v/>
      </c>
      <c r="H824" s="6" t="str">
        <f>IF(A824 = "", "", COUNTIF('Game Record'!H:H, A824))</f>
        <v/>
      </c>
      <c r="I824" s="2">
        <f>IFERROR(__xludf.DUMMYFUNCTION("SUM(FILTER(TeamARecordSet, INDEX(TeamARecordSet, 0, 1) = A824)) + SUM(FILTER(TeamBRecordSet, INDEX(TeamBRecordSet, 0, 1) = A824))"),0.0)</f>
        <v>0</v>
      </c>
      <c r="J824" s="2">
        <f t="shared" si="2"/>
        <v>0</v>
      </c>
      <c r="K824" s="2" t="str">
        <f t="shared" si="3"/>
        <v/>
      </c>
    </row>
    <row r="825">
      <c r="A825" s="2"/>
      <c r="B825" s="7"/>
      <c r="D825" s="5" t="str">
        <f>IF(A825 = "", "", COUNTIFS('Game Record'!G:G, A825, 'Game Record'!E:E, C825))</f>
        <v/>
      </c>
      <c r="E825" s="6" t="str">
        <f>IF(A825 = "", "", COUNTIFS('Game Record'!H:H, A825, 'Game Record'!E:E, C825))</f>
        <v/>
      </c>
      <c r="F825" s="2">
        <f t="shared" si="1"/>
        <v>0</v>
      </c>
      <c r="G825" s="1" t="str">
        <f>IF(A825 = "", "", COUNTIF('Game Record'!G:G, A825))</f>
        <v/>
      </c>
      <c r="H825" s="6" t="str">
        <f>IF(A825 = "", "", COUNTIF('Game Record'!H:H, A825))</f>
        <v/>
      </c>
      <c r="I825" s="2">
        <f>IFERROR(__xludf.DUMMYFUNCTION("SUM(FILTER(TeamARecordSet, INDEX(TeamARecordSet, 0, 1) = A825)) + SUM(FILTER(TeamBRecordSet, INDEX(TeamBRecordSet, 0, 1) = A825))"),0.0)</f>
        <v>0</v>
      </c>
      <c r="J825" s="2">
        <f t="shared" si="2"/>
        <v>0</v>
      </c>
      <c r="K825" s="2" t="str">
        <f t="shared" si="3"/>
        <v/>
      </c>
    </row>
    <row r="826">
      <c r="A826" s="2"/>
      <c r="B826" s="7"/>
      <c r="D826" s="5" t="str">
        <f>IF(A826 = "", "", COUNTIFS('Game Record'!G:G, A826, 'Game Record'!E:E, C826))</f>
        <v/>
      </c>
      <c r="E826" s="6" t="str">
        <f>IF(A826 = "", "", COUNTIFS('Game Record'!H:H, A826, 'Game Record'!E:E, C826))</f>
        <v/>
      </c>
      <c r="F826" s="2">
        <f t="shared" si="1"/>
        <v>0</v>
      </c>
      <c r="G826" s="1" t="str">
        <f>IF(A826 = "", "", COUNTIF('Game Record'!G:G, A826))</f>
        <v/>
      </c>
      <c r="H826" s="6" t="str">
        <f>IF(A826 = "", "", COUNTIF('Game Record'!H:H, A826))</f>
        <v/>
      </c>
      <c r="I826" s="2">
        <f>IFERROR(__xludf.DUMMYFUNCTION("SUM(FILTER(TeamARecordSet, INDEX(TeamARecordSet, 0, 1) = A826)) + SUM(FILTER(TeamBRecordSet, INDEX(TeamBRecordSet, 0, 1) = A826))"),0.0)</f>
        <v>0</v>
      </c>
      <c r="J826" s="2">
        <f t="shared" si="2"/>
        <v>0</v>
      </c>
      <c r="K826" s="2" t="str">
        <f t="shared" si="3"/>
        <v/>
      </c>
    </row>
    <row r="827">
      <c r="A827" s="2"/>
      <c r="B827" s="7"/>
      <c r="D827" s="5" t="str">
        <f>IF(A827 = "", "", COUNTIFS('Game Record'!G:G, A827, 'Game Record'!E:E, C827))</f>
        <v/>
      </c>
      <c r="E827" s="6" t="str">
        <f>IF(A827 = "", "", COUNTIFS('Game Record'!H:H, A827, 'Game Record'!E:E, C827))</f>
        <v/>
      </c>
      <c r="F827" s="2">
        <f t="shared" si="1"/>
        <v>0</v>
      </c>
      <c r="G827" s="1" t="str">
        <f>IF(A827 = "", "", COUNTIF('Game Record'!G:G, A827))</f>
        <v/>
      </c>
      <c r="H827" s="6" t="str">
        <f>IF(A827 = "", "", COUNTIF('Game Record'!H:H, A827))</f>
        <v/>
      </c>
      <c r="I827" s="2">
        <f>IFERROR(__xludf.DUMMYFUNCTION("SUM(FILTER(TeamARecordSet, INDEX(TeamARecordSet, 0, 1) = A827)) + SUM(FILTER(TeamBRecordSet, INDEX(TeamBRecordSet, 0, 1) = A827))"),0.0)</f>
        <v>0</v>
      </c>
      <c r="J827" s="2">
        <f t="shared" si="2"/>
        <v>0</v>
      </c>
      <c r="K827" s="2" t="str">
        <f t="shared" si="3"/>
        <v/>
      </c>
    </row>
    <row r="828">
      <c r="A828" s="2"/>
      <c r="B828" s="7"/>
      <c r="D828" s="5" t="str">
        <f>IF(A828 = "", "", COUNTIFS('Game Record'!G:G, A828, 'Game Record'!E:E, C828))</f>
        <v/>
      </c>
      <c r="E828" s="6" t="str">
        <f>IF(A828 = "", "", COUNTIFS('Game Record'!H:H, A828, 'Game Record'!E:E, C828))</f>
        <v/>
      </c>
      <c r="F828" s="2">
        <f t="shared" si="1"/>
        <v>0</v>
      </c>
      <c r="G828" s="1" t="str">
        <f>IF(A828 = "", "", COUNTIF('Game Record'!G:G, A828))</f>
        <v/>
      </c>
      <c r="H828" s="6" t="str">
        <f>IF(A828 = "", "", COUNTIF('Game Record'!H:H, A828))</f>
        <v/>
      </c>
      <c r="I828" s="2">
        <f>IFERROR(__xludf.DUMMYFUNCTION("SUM(FILTER(TeamARecordSet, INDEX(TeamARecordSet, 0, 1) = A828)) + SUM(FILTER(TeamBRecordSet, INDEX(TeamBRecordSet, 0, 1) = A828))"),0.0)</f>
        <v>0</v>
      </c>
      <c r="J828" s="2">
        <f t="shared" si="2"/>
        <v>0</v>
      </c>
      <c r="K828" s="2" t="str">
        <f t="shared" si="3"/>
        <v/>
      </c>
    </row>
    <row r="829">
      <c r="A829" s="2"/>
      <c r="B829" s="7"/>
      <c r="D829" s="5" t="str">
        <f>IF(A829 = "", "", COUNTIFS('Game Record'!G:G, A829, 'Game Record'!E:E, C829))</f>
        <v/>
      </c>
      <c r="E829" s="6" t="str">
        <f>IF(A829 = "", "", COUNTIFS('Game Record'!H:H, A829, 'Game Record'!E:E, C829))</f>
        <v/>
      </c>
      <c r="F829" s="2">
        <f t="shared" si="1"/>
        <v>0</v>
      </c>
      <c r="G829" s="1" t="str">
        <f>IF(A829 = "", "", COUNTIF('Game Record'!G:G, A829))</f>
        <v/>
      </c>
      <c r="H829" s="6" t="str">
        <f>IF(A829 = "", "", COUNTIF('Game Record'!H:H, A829))</f>
        <v/>
      </c>
      <c r="I829" s="2">
        <f>IFERROR(__xludf.DUMMYFUNCTION("SUM(FILTER(TeamARecordSet, INDEX(TeamARecordSet, 0, 1) = A829)) + SUM(FILTER(TeamBRecordSet, INDEX(TeamBRecordSet, 0, 1) = A829))"),0.0)</f>
        <v>0</v>
      </c>
      <c r="J829" s="2">
        <f t="shared" si="2"/>
        <v>0</v>
      </c>
      <c r="K829" s="2" t="str">
        <f t="shared" si="3"/>
        <v/>
      </c>
    </row>
    <row r="830">
      <c r="A830" s="2"/>
      <c r="B830" s="7"/>
      <c r="D830" s="5" t="str">
        <f>IF(A830 = "", "", COUNTIFS('Game Record'!G:G, A830, 'Game Record'!E:E, C830))</f>
        <v/>
      </c>
      <c r="E830" s="6" t="str">
        <f>IF(A830 = "", "", COUNTIFS('Game Record'!H:H, A830, 'Game Record'!E:E, C830))</f>
        <v/>
      </c>
      <c r="F830" s="2">
        <f t="shared" si="1"/>
        <v>0</v>
      </c>
      <c r="G830" s="1" t="str">
        <f>IF(A830 = "", "", COUNTIF('Game Record'!G:G, A830))</f>
        <v/>
      </c>
      <c r="H830" s="6" t="str">
        <f>IF(A830 = "", "", COUNTIF('Game Record'!H:H, A830))</f>
        <v/>
      </c>
      <c r="I830" s="2">
        <f>IFERROR(__xludf.DUMMYFUNCTION("SUM(FILTER(TeamARecordSet, INDEX(TeamARecordSet, 0, 1) = A830)) + SUM(FILTER(TeamBRecordSet, INDEX(TeamBRecordSet, 0, 1) = A830))"),0.0)</f>
        <v>0</v>
      </c>
      <c r="J830" s="2">
        <f t="shared" si="2"/>
        <v>0</v>
      </c>
      <c r="K830" s="2" t="str">
        <f t="shared" si="3"/>
        <v/>
      </c>
    </row>
    <row r="831">
      <c r="A831" s="2"/>
      <c r="B831" s="7"/>
      <c r="D831" s="5" t="str">
        <f>IF(A831 = "", "", COUNTIFS('Game Record'!G:G, A831, 'Game Record'!E:E, C831))</f>
        <v/>
      </c>
      <c r="E831" s="6" t="str">
        <f>IF(A831 = "", "", COUNTIFS('Game Record'!H:H, A831, 'Game Record'!E:E, C831))</f>
        <v/>
      </c>
      <c r="F831" s="2">
        <f t="shared" si="1"/>
        <v>0</v>
      </c>
      <c r="G831" s="1" t="str">
        <f>IF(A831 = "", "", COUNTIF('Game Record'!G:G, A831))</f>
        <v/>
      </c>
      <c r="H831" s="6" t="str">
        <f>IF(A831 = "", "", COUNTIF('Game Record'!H:H, A831))</f>
        <v/>
      </c>
      <c r="I831" s="2">
        <f>IFERROR(__xludf.DUMMYFUNCTION("SUM(FILTER(TeamARecordSet, INDEX(TeamARecordSet, 0, 1) = A831)) + SUM(FILTER(TeamBRecordSet, INDEX(TeamBRecordSet, 0, 1) = A831))"),0.0)</f>
        <v>0</v>
      </c>
      <c r="J831" s="2">
        <f t="shared" si="2"/>
        <v>0</v>
      </c>
      <c r="K831" s="2" t="str">
        <f t="shared" si="3"/>
        <v/>
      </c>
    </row>
    <row r="832">
      <c r="A832" s="2"/>
      <c r="B832" s="7"/>
      <c r="D832" s="5" t="str">
        <f>IF(A832 = "", "", COUNTIFS('Game Record'!G:G, A832, 'Game Record'!E:E, C832))</f>
        <v/>
      </c>
      <c r="E832" s="6" t="str">
        <f>IF(A832 = "", "", COUNTIFS('Game Record'!H:H, A832, 'Game Record'!E:E, C832))</f>
        <v/>
      </c>
      <c r="F832" s="2">
        <f t="shared" si="1"/>
        <v>0</v>
      </c>
      <c r="G832" s="1" t="str">
        <f>IF(A832 = "", "", COUNTIF('Game Record'!G:G, A832))</f>
        <v/>
      </c>
      <c r="H832" s="6" t="str">
        <f>IF(A832 = "", "", COUNTIF('Game Record'!H:H, A832))</f>
        <v/>
      </c>
      <c r="I832" s="2">
        <f>IFERROR(__xludf.DUMMYFUNCTION("SUM(FILTER(TeamARecordSet, INDEX(TeamARecordSet, 0, 1) = A832)) + SUM(FILTER(TeamBRecordSet, INDEX(TeamBRecordSet, 0, 1) = A832))"),0.0)</f>
        <v>0</v>
      </c>
      <c r="J832" s="2">
        <f t="shared" si="2"/>
        <v>0</v>
      </c>
      <c r="K832" s="2" t="str">
        <f t="shared" si="3"/>
        <v/>
      </c>
    </row>
    <row r="833">
      <c r="A833" s="2"/>
      <c r="B833" s="7"/>
      <c r="D833" s="5" t="str">
        <f>IF(A833 = "", "", COUNTIFS('Game Record'!G:G, A833, 'Game Record'!E:E, C833))</f>
        <v/>
      </c>
      <c r="E833" s="6" t="str">
        <f>IF(A833 = "", "", COUNTIFS('Game Record'!H:H, A833, 'Game Record'!E:E, C833))</f>
        <v/>
      </c>
      <c r="F833" s="2">
        <f t="shared" si="1"/>
        <v>0</v>
      </c>
      <c r="G833" s="1" t="str">
        <f>IF(A833 = "", "", COUNTIF('Game Record'!G:G, A833))</f>
        <v/>
      </c>
      <c r="H833" s="6" t="str">
        <f>IF(A833 = "", "", COUNTIF('Game Record'!H:H, A833))</f>
        <v/>
      </c>
      <c r="I833" s="2">
        <f>IFERROR(__xludf.DUMMYFUNCTION("SUM(FILTER(TeamARecordSet, INDEX(TeamARecordSet, 0, 1) = A833)) + SUM(FILTER(TeamBRecordSet, INDEX(TeamBRecordSet, 0, 1) = A833))"),0.0)</f>
        <v>0</v>
      </c>
      <c r="J833" s="2">
        <f t="shared" si="2"/>
        <v>0</v>
      </c>
      <c r="K833" s="2" t="str">
        <f t="shared" si="3"/>
        <v/>
      </c>
    </row>
    <row r="834">
      <c r="A834" s="2"/>
      <c r="B834" s="7"/>
      <c r="D834" s="5" t="str">
        <f>IF(A834 = "", "", COUNTIFS('Game Record'!G:G, A834, 'Game Record'!E:E, C834))</f>
        <v/>
      </c>
      <c r="E834" s="6" t="str">
        <f>IF(A834 = "", "", COUNTIFS('Game Record'!H:H, A834, 'Game Record'!E:E, C834))</f>
        <v/>
      </c>
      <c r="F834" s="2">
        <f t="shared" si="1"/>
        <v>0</v>
      </c>
      <c r="G834" s="1" t="str">
        <f>IF(A834 = "", "", COUNTIF('Game Record'!G:G, A834))</f>
        <v/>
      </c>
      <c r="H834" s="6" t="str">
        <f>IF(A834 = "", "", COUNTIF('Game Record'!H:H, A834))</f>
        <v/>
      </c>
      <c r="I834" s="2">
        <f>IFERROR(__xludf.DUMMYFUNCTION("SUM(FILTER(TeamARecordSet, INDEX(TeamARecordSet, 0, 1) = A834)) + SUM(FILTER(TeamBRecordSet, INDEX(TeamBRecordSet, 0, 1) = A834))"),0.0)</f>
        <v>0</v>
      </c>
      <c r="J834" s="2">
        <f t="shared" si="2"/>
        <v>0</v>
      </c>
      <c r="K834" s="2" t="str">
        <f t="shared" si="3"/>
        <v/>
      </c>
    </row>
    <row r="835">
      <c r="A835" s="2"/>
      <c r="B835" s="7"/>
      <c r="D835" s="5" t="str">
        <f>IF(A835 = "", "", COUNTIFS('Game Record'!G:G, A835, 'Game Record'!E:E, C835))</f>
        <v/>
      </c>
      <c r="E835" s="6" t="str">
        <f>IF(A835 = "", "", COUNTIFS('Game Record'!H:H, A835, 'Game Record'!E:E, C835))</f>
        <v/>
      </c>
      <c r="F835" s="2">
        <f t="shared" si="1"/>
        <v>0</v>
      </c>
      <c r="G835" s="1" t="str">
        <f>IF(A835 = "", "", COUNTIF('Game Record'!G:G, A835))</f>
        <v/>
      </c>
      <c r="H835" s="6" t="str">
        <f>IF(A835 = "", "", COUNTIF('Game Record'!H:H, A835))</f>
        <v/>
      </c>
      <c r="I835" s="2">
        <f>IFERROR(__xludf.DUMMYFUNCTION("SUM(FILTER(TeamARecordSet, INDEX(TeamARecordSet, 0, 1) = A835)) + SUM(FILTER(TeamBRecordSet, INDEX(TeamBRecordSet, 0, 1) = A835))"),0.0)</f>
        <v>0</v>
      </c>
      <c r="J835" s="2">
        <f t="shared" si="2"/>
        <v>0</v>
      </c>
      <c r="K835" s="2" t="str">
        <f t="shared" si="3"/>
        <v/>
      </c>
    </row>
    <row r="836">
      <c r="A836" s="2"/>
      <c r="B836" s="7"/>
      <c r="D836" s="5" t="str">
        <f>IF(A836 = "", "", COUNTIFS('Game Record'!G:G, A836, 'Game Record'!E:E, C836))</f>
        <v/>
      </c>
      <c r="E836" s="6" t="str">
        <f>IF(A836 = "", "", COUNTIFS('Game Record'!H:H, A836, 'Game Record'!E:E, C836))</f>
        <v/>
      </c>
      <c r="F836" s="2">
        <f t="shared" si="1"/>
        <v>0</v>
      </c>
      <c r="G836" s="1" t="str">
        <f>IF(A836 = "", "", COUNTIF('Game Record'!G:G, A836))</f>
        <v/>
      </c>
      <c r="H836" s="6" t="str">
        <f>IF(A836 = "", "", COUNTIF('Game Record'!H:H, A836))</f>
        <v/>
      </c>
      <c r="I836" s="2">
        <f>IFERROR(__xludf.DUMMYFUNCTION("SUM(FILTER(TeamARecordSet, INDEX(TeamARecordSet, 0, 1) = A836)) + SUM(FILTER(TeamBRecordSet, INDEX(TeamBRecordSet, 0, 1) = A836))"),0.0)</f>
        <v>0</v>
      </c>
      <c r="J836" s="2">
        <f t="shared" si="2"/>
        <v>0</v>
      </c>
      <c r="K836" s="2" t="str">
        <f t="shared" si="3"/>
        <v/>
      </c>
    </row>
    <row r="837">
      <c r="A837" s="2"/>
      <c r="B837" s="7"/>
      <c r="D837" s="5" t="str">
        <f>IF(A837 = "", "", COUNTIFS('Game Record'!G:G, A837, 'Game Record'!E:E, C837))</f>
        <v/>
      </c>
      <c r="E837" s="6" t="str">
        <f>IF(A837 = "", "", COUNTIFS('Game Record'!H:H, A837, 'Game Record'!E:E, C837))</f>
        <v/>
      </c>
      <c r="F837" s="2">
        <f t="shared" si="1"/>
        <v>0</v>
      </c>
      <c r="G837" s="1" t="str">
        <f>IF(A837 = "", "", COUNTIF('Game Record'!G:G, A837))</f>
        <v/>
      </c>
      <c r="H837" s="6" t="str">
        <f>IF(A837 = "", "", COUNTIF('Game Record'!H:H, A837))</f>
        <v/>
      </c>
      <c r="I837" s="2">
        <f>IFERROR(__xludf.DUMMYFUNCTION("SUM(FILTER(TeamARecordSet, INDEX(TeamARecordSet, 0, 1) = A837)) + SUM(FILTER(TeamBRecordSet, INDEX(TeamBRecordSet, 0, 1) = A837))"),0.0)</f>
        <v>0</v>
      </c>
      <c r="J837" s="2">
        <f t="shared" si="2"/>
        <v>0</v>
      </c>
      <c r="K837" s="2" t="str">
        <f t="shared" si="3"/>
        <v/>
      </c>
    </row>
    <row r="838">
      <c r="A838" s="2"/>
      <c r="B838" s="7"/>
      <c r="D838" s="5" t="str">
        <f>IF(A838 = "", "", COUNTIFS('Game Record'!G:G, A838, 'Game Record'!E:E, C838))</f>
        <v/>
      </c>
      <c r="E838" s="6" t="str">
        <f>IF(A838 = "", "", COUNTIFS('Game Record'!H:H, A838, 'Game Record'!E:E, C838))</f>
        <v/>
      </c>
      <c r="F838" s="2">
        <f t="shared" si="1"/>
        <v>0</v>
      </c>
      <c r="G838" s="1" t="str">
        <f>IF(A838 = "", "", COUNTIF('Game Record'!G:G, A838))</f>
        <v/>
      </c>
      <c r="H838" s="6" t="str">
        <f>IF(A838 = "", "", COUNTIF('Game Record'!H:H, A838))</f>
        <v/>
      </c>
      <c r="I838" s="2">
        <f>IFERROR(__xludf.DUMMYFUNCTION("SUM(FILTER(TeamARecordSet, INDEX(TeamARecordSet, 0, 1) = A838)) + SUM(FILTER(TeamBRecordSet, INDEX(TeamBRecordSet, 0, 1) = A838))"),0.0)</f>
        <v>0</v>
      </c>
      <c r="J838" s="2">
        <f t="shared" si="2"/>
        <v>0</v>
      </c>
      <c r="K838" s="2" t="str">
        <f t="shared" si="3"/>
        <v/>
      </c>
    </row>
    <row r="839">
      <c r="A839" s="2"/>
      <c r="B839" s="7"/>
      <c r="D839" s="5" t="str">
        <f>IF(A839 = "", "", COUNTIFS('Game Record'!G:G, A839, 'Game Record'!E:E, C839))</f>
        <v/>
      </c>
      <c r="E839" s="6" t="str">
        <f>IF(A839 = "", "", COUNTIFS('Game Record'!H:H, A839, 'Game Record'!E:E, C839))</f>
        <v/>
      </c>
      <c r="F839" s="2">
        <f t="shared" si="1"/>
        <v>0</v>
      </c>
      <c r="G839" s="1" t="str">
        <f>IF(A839 = "", "", COUNTIF('Game Record'!G:G, A839))</f>
        <v/>
      </c>
      <c r="H839" s="6" t="str">
        <f>IF(A839 = "", "", COUNTIF('Game Record'!H:H, A839))</f>
        <v/>
      </c>
      <c r="I839" s="2">
        <f>IFERROR(__xludf.DUMMYFUNCTION("SUM(FILTER(TeamARecordSet, INDEX(TeamARecordSet, 0, 1) = A839)) + SUM(FILTER(TeamBRecordSet, INDEX(TeamBRecordSet, 0, 1) = A839))"),0.0)</f>
        <v>0</v>
      </c>
      <c r="J839" s="2">
        <f t="shared" si="2"/>
        <v>0</v>
      </c>
      <c r="K839" s="2" t="str">
        <f t="shared" si="3"/>
        <v/>
      </c>
    </row>
    <row r="840">
      <c r="A840" s="2"/>
      <c r="B840" s="7"/>
      <c r="D840" s="5" t="str">
        <f>IF(A840 = "", "", COUNTIFS('Game Record'!G:G, A840, 'Game Record'!E:E, C840))</f>
        <v/>
      </c>
      <c r="E840" s="6" t="str">
        <f>IF(A840 = "", "", COUNTIFS('Game Record'!H:H, A840, 'Game Record'!E:E, C840))</f>
        <v/>
      </c>
      <c r="F840" s="2">
        <f t="shared" si="1"/>
        <v>0</v>
      </c>
      <c r="G840" s="1" t="str">
        <f>IF(A840 = "", "", COUNTIF('Game Record'!G:G, A840))</f>
        <v/>
      </c>
      <c r="H840" s="6" t="str">
        <f>IF(A840 = "", "", COUNTIF('Game Record'!H:H, A840))</f>
        <v/>
      </c>
      <c r="I840" s="2">
        <f>IFERROR(__xludf.DUMMYFUNCTION("SUM(FILTER(TeamARecordSet, INDEX(TeamARecordSet, 0, 1) = A840)) + SUM(FILTER(TeamBRecordSet, INDEX(TeamBRecordSet, 0, 1) = A840))"),0.0)</f>
        <v>0</v>
      </c>
      <c r="J840" s="2">
        <f t="shared" si="2"/>
        <v>0</v>
      </c>
      <c r="K840" s="2" t="str">
        <f t="shared" si="3"/>
        <v/>
      </c>
    </row>
    <row r="841">
      <c r="A841" s="2"/>
      <c r="B841" s="7"/>
      <c r="D841" s="5" t="str">
        <f>IF(A841 = "", "", COUNTIFS('Game Record'!G:G, A841, 'Game Record'!E:E, C841))</f>
        <v/>
      </c>
      <c r="E841" s="6" t="str">
        <f>IF(A841 = "", "", COUNTIFS('Game Record'!H:H, A841, 'Game Record'!E:E, C841))</f>
        <v/>
      </c>
      <c r="F841" s="2">
        <f t="shared" si="1"/>
        <v>0</v>
      </c>
      <c r="G841" s="1" t="str">
        <f>IF(A841 = "", "", COUNTIF('Game Record'!G:G, A841))</f>
        <v/>
      </c>
      <c r="H841" s="6" t="str">
        <f>IF(A841 = "", "", COUNTIF('Game Record'!H:H, A841))</f>
        <v/>
      </c>
      <c r="I841" s="2">
        <f>IFERROR(__xludf.DUMMYFUNCTION("SUM(FILTER(TeamARecordSet, INDEX(TeamARecordSet, 0, 1) = A841)) + SUM(FILTER(TeamBRecordSet, INDEX(TeamBRecordSet, 0, 1) = A841))"),0.0)</f>
        <v>0</v>
      </c>
      <c r="J841" s="2">
        <f t="shared" si="2"/>
        <v>0</v>
      </c>
      <c r="K841" s="2" t="str">
        <f t="shared" si="3"/>
        <v/>
      </c>
    </row>
    <row r="842">
      <c r="A842" s="2"/>
      <c r="B842" s="7"/>
      <c r="D842" s="5" t="str">
        <f>IF(A842 = "", "", COUNTIFS('Game Record'!G:G, A842, 'Game Record'!E:E, C842))</f>
        <v/>
      </c>
      <c r="E842" s="6" t="str">
        <f>IF(A842 = "", "", COUNTIFS('Game Record'!H:H, A842, 'Game Record'!E:E, C842))</f>
        <v/>
      </c>
      <c r="F842" s="2">
        <f t="shared" si="1"/>
        <v>0</v>
      </c>
      <c r="G842" s="1" t="str">
        <f>IF(A842 = "", "", COUNTIF('Game Record'!G:G, A842))</f>
        <v/>
      </c>
      <c r="H842" s="6" t="str">
        <f>IF(A842 = "", "", COUNTIF('Game Record'!H:H, A842))</f>
        <v/>
      </c>
      <c r="I842" s="2">
        <f>IFERROR(__xludf.DUMMYFUNCTION("SUM(FILTER(TeamARecordSet, INDEX(TeamARecordSet, 0, 1) = A842)) + SUM(FILTER(TeamBRecordSet, INDEX(TeamBRecordSet, 0, 1) = A842))"),0.0)</f>
        <v>0</v>
      </c>
      <c r="J842" s="2">
        <f t="shared" si="2"/>
        <v>0</v>
      </c>
      <c r="K842" s="2" t="str">
        <f t="shared" si="3"/>
        <v/>
      </c>
    </row>
    <row r="843">
      <c r="A843" s="2"/>
      <c r="B843" s="7"/>
      <c r="D843" s="5" t="str">
        <f>IF(A843 = "", "", COUNTIFS('Game Record'!G:G, A843, 'Game Record'!E:E, C843))</f>
        <v/>
      </c>
      <c r="E843" s="6" t="str">
        <f>IF(A843 = "", "", COUNTIFS('Game Record'!H:H, A843, 'Game Record'!E:E, C843))</f>
        <v/>
      </c>
      <c r="F843" s="2">
        <f t="shared" si="1"/>
        <v>0</v>
      </c>
      <c r="G843" s="1" t="str">
        <f>IF(A843 = "", "", COUNTIF('Game Record'!G:G, A843))</f>
        <v/>
      </c>
      <c r="H843" s="6" t="str">
        <f>IF(A843 = "", "", COUNTIF('Game Record'!H:H, A843))</f>
        <v/>
      </c>
      <c r="I843" s="2">
        <f>IFERROR(__xludf.DUMMYFUNCTION("SUM(FILTER(TeamARecordSet, INDEX(TeamARecordSet, 0, 1) = A843)) + SUM(FILTER(TeamBRecordSet, INDEX(TeamBRecordSet, 0, 1) = A843))"),0.0)</f>
        <v>0</v>
      </c>
      <c r="J843" s="2">
        <f t="shared" si="2"/>
        <v>0</v>
      </c>
      <c r="K843" s="2" t="str">
        <f t="shared" si="3"/>
        <v/>
      </c>
    </row>
    <row r="844">
      <c r="A844" s="2"/>
      <c r="B844" s="7"/>
      <c r="D844" s="5" t="str">
        <f>IF(A844 = "", "", COUNTIFS('Game Record'!G:G, A844, 'Game Record'!E:E, C844))</f>
        <v/>
      </c>
      <c r="E844" s="6" t="str">
        <f>IF(A844 = "", "", COUNTIFS('Game Record'!H:H, A844, 'Game Record'!E:E, C844))</f>
        <v/>
      </c>
      <c r="F844" s="2">
        <f t="shared" si="1"/>
        <v>0</v>
      </c>
      <c r="G844" s="1" t="str">
        <f>IF(A844 = "", "", COUNTIF('Game Record'!G:G, A844))</f>
        <v/>
      </c>
      <c r="H844" s="6" t="str">
        <f>IF(A844 = "", "", COUNTIF('Game Record'!H:H, A844))</f>
        <v/>
      </c>
      <c r="I844" s="2">
        <f>IFERROR(__xludf.DUMMYFUNCTION("SUM(FILTER(TeamARecordSet, INDEX(TeamARecordSet, 0, 1) = A844)) + SUM(FILTER(TeamBRecordSet, INDEX(TeamBRecordSet, 0, 1) = A844))"),0.0)</f>
        <v>0</v>
      </c>
      <c r="J844" s="2">
        <f t="shared" si="2"/>
        <v>0</v>
      </c>
      <c r="K844" s="2" t="str">
        <f t="shared" si="3"/>
        <v/>
      </c>
    </row>
    <row r="845">
      <c r="A845" s="2"/>
      <c r="B845" s="7"/>
      <c r="D845" s="5" t="str">
        <f>IF(A845 = "", "", COUNTIFS('Game Record'!G:G, A845, 'Game Record'!E:E, C845))</f>
        <v/>
      </c>
      <c r="E845" s="6" t="str">
        <f>IF(A845 = "", "", COUNTIFS('Game Record'!H:H, A845, 'Game Record'!E:E, C845))</f>
        <v/>
      </c>
      <c r="F845" s="2">
        <f t="shared" si="1"/>
        <v>0</v>
      </c>
      <c r="G845" s="1" t="str">
        <f>IF(A845 = "", "", COUNTIF('Game Record'!G:G, A845))</f>
        <v/>
      </c>
      <c r="H845" s="6" t="str">
        <f>IF(A845 = "", "", COUNTIF('Game Record'!H:H, A845))</f>
        <v/>
      </c>
      <c r="I845" s="2">
        <f>IFERROR(__xludf.DUMMYFUNCTION("SUM(FILTER(TeamARecordSet, INDEX(TeamARecordSet, 0, 1) = A845)) + SUM(FILTER(TeamBRecordSet, INDEX(TeamBRecordSet, 0, 1) = A845))"),0.0)</f>
        <v>0</v>
      </c>
      <c r="J845" s="2">
        <f t="shared" si="2"/>
        <v>0</v>
      </c>
      <c r="K845" s="2" t="str">
        <f t="shared" si="3"/>
        <v/>
      </c>
    </row>
    <row r="846">
      <c r="A846" s="2"/>
      <c r="B846" s="7"/>
      <c r="D846" s="5" t="str">
        <f>IF(A846 = "", "", COUNTIFS('Game Record'!G:G, A846, 'Game Record'!E:E, C846))</f>
        <v/>
      </c>
      <c r="E846" s="6" t="str">
        <f>IF(A846 = "", "", COUNTIFS('Game Record'!H:H, A846, 'Game Record'!E:E, C846))</f>
        <v/>
      </c>
      <c r="F846" s="2">
        <f t="shared" si="1"/>
        <v>0</v>
      </c>
      <c r="G846" s="1" t="str">
        <f>IF(A846 = "", "", COUNTIF('Game Record'!G:G, A846))</f>
        <v/>
      </c>
      <c r="H846" s="6" t="str">
        <f>IF(A846 = "", "", COUNTIF('Game Record'!H:H, A846))</f>
        <v/>
      </c>
      <c r="I846" s="2">
        <f>IFERROR(__xludf.DUMMYFUNCTION("SUM(FILTER(TeamARecordSet, INDEX(TeamARecordSet, 0, 1) = A846)) + SUM(FILTER(TeamBRecordSet, INDEX(TeamBRecordSet, 0, 1) = A846))"),0.0)</f>
        <v>0</v>
      </c>
      <c r="J846" s="2">
        <f t="shared" si="2"/>
        <v>0</v>
      </c>
      <c r="K846" s="2" t="str">
        <f t="shared" si="3"/>
        <v/>
      </c>
    </row>
    <row r="847">
      <c r="A847" s="2"/>
      <c r="B847" s="7"/>
      <c r="D847" s="5" t="str">
        <f>IF(A847 = "", "", COUNTIFS('Game Record'!G:G, A847, 'Game Record'!E:E, C847))</f>
        <v/>
      </c>
      <c r="E847" s="6" t="str">
        <f>IF(A847 = "", "", COUNTIFS('Game Record'!H:H, A847, 'Game Record'!E:E, C847))</f>
        <v/>
      </c>
      <c r="F847" s="2">
        <f t="shared" si="1"/>
        <v>0</v>
      </c>
      <c r="G847" s="1" t="str">
        <f>IF(A847 = "", "", COUNTIF('Game Record'!G:G, A847))</f>
        <v/>
      </c>
      <c r="H847" s="6" t="str">
        <f>IF(A847 = "", "", COUNTIF('Game Record'!H:H, A847))</f>
        <v/>
      </c>
      <c r="I847" s="2">
        <f>IFERROR(__xludf.DUMMYFUNCTION("SUM(FILTER(TeamARecordSet, INDEX(TeamARecordSet, 0, 1) = A847)) + SUM(FILTER(TeamBRecordSet, INDEX(TeamBRecordSet, 0, 1) = A847))"),0.0)</f>
        <v>0</v>
      </c>
      <c r="J847" s="2">
        <f t="shared" si="2"/>
        <v>0</v>
      </c>
      <c r="K847" s="2" t="str">
        <f t="shared" si="3"/>
        <v/>
      </c>
    </row>
    <row r="848">
      <c r="A848" s="2"/>
      <c r="B848" s="7"/>
      <c r="D848" s="5" t="str">
        <f>IF(A848 = "", "", COUNTIFS('Game Record'!G:G, A848, 'Game Record'!E:E, C848))</f>
        <v/>
      </c>
      <c r="E848" s="6" t="str">
        <f>IF(A848 = "", "", COUNTIFS('Game Record'!H:H, A848, 'Game Record'!E:E, C848))</f>
        <v/>
      </c>
      <c r="F848" s="2">
        <f t="shared" si="1"/>
        <v>0</v>
      </c>
      <c r="G848" s="1" t="str">
        <f>IF(A848 = "", "", COUNTIF('Game Record'!G:G, A848))</f>
        <v/>
      </c>
      <c r="H848" s="6" t="str">
        <f>IF(A848 = "", "", COUNTIF('Game Record'!H:H, A848))</f>
        <v/>
      </c>
      <c r="I848" s="2">
        <f>IFERROR(__xludf.DUMMYFUNCTION("SUM(FILTER(TeamARecordSet, INDEX(TeamARecordSet, 0, 1) = A848)) + SUM(FILTER(TeamBRecordSet, INDEX(TeamBRecordSet, 0, 1) = A848))"),0.0)</f>
        <v>0</v>
      </c>
      <c r="J848" s="2">
        <f t="shared" si="2"/>
        <v>0</v>
      </c>
      <c r="K848" s="2" t="str">
        <f t="shared" si="3"/>
        <v/>
      </c>
    </row>
    <row r="849">
      <c r="A849" s="2"/>
      <c r="B849" s="7"/>
      <c r="D849" s="5" t="str">
        <f>IF(A849 = "", "", COUNTIFS('Game Record'!G:G, A849, 'Game Record'!E:E, C849))</f>
        <v/>
      </c>
      <c r="E849" s="6" t="str">
        <f>IF(A849 = "", "", COUNTIFS('Game Record'!H:H, A849, 'Game Record'!E:E, C849))</f>
        <v/>
      </c>
      <c r="F849" s="2">
        <f t="shared" si="1"/>
        <v>0</v>
      </c>
      <c r="G849" s="1" t="str">
        <f>IF(A849 = "", "", COUNTIF('Game Record'!G:G, A849))</f>
        <v/>
      </c>
      <c r="H849" s="6" t="str">
        <f>IF(A849 = "", "", COUNTIF('Game Record'!H:H, A849))</f>
        <v/>
      </c>
      <c r="I849" s="2">
        <f>IFERROR(__xludf.DUMMYFUNCTION("SUM(FILTER(TeamARecordSet, INDEX(TeamARecordSet, 0, 1) = A849)) + SUM(FILTER(TeamBRecordSet, INDEX(TeamBRecordSet, 0, 1) = A849))"),0.0)</f>
        <v>0</v>
      </c>
      <c r="J849" s="2">
        <f t="shared" si="2"/>
        <v>0</v>
      </c>
      <c r="K849" s="2" t="str">
        <f t="shared" si="3"/>
        <v/>
      </c>
    </row>
    <row r="850">
      <c r="A850" s="2"/>
      <c r="B850" s="7"/>
      <c r="D850" s="5" t="str">
        <f>IF(A850 = "", "", COUNTIFS('Game Record'!G:G, A850, 'Game Record'!E:E, C850))</f>
        <v/>
      </c>
      <c r="E850" s="6" t="str">
        <f>IF(A850 = "", "", COUNTIFS('Game Record'!H:H, A850, 'Game Record'!E:E, C850))</f>
        <v/>
      </c>
      <c r="F850" s="2">
        <f t="shared" si="1"/>
        <v>0</v>
      </c>
      <c r="G850" s="1" t="str">
        <f>IF(A850 = "", "", COUNTIF('Game Record'!G:G, A850))</f>
        <v/>
      </c>
      <c r="H850" s="6" t="str">
        <f>IF(A850 = "", "", COUNTIF('Game Record'!H:H, A850))</f>
        <v/>
      </c>
      <c r="I850" s="2">
        <f>IFERROR(__xludf.DUMMYFUNCTION("SUM(FILTER(TeamARecordSet, INDEX(TeamARecordSet, 0, 1) = A850)) + SUM(FILTER(TeamBRecordSet, INDEX(TeamBRecordSet, 0, 1) = A850))"),0.0)</f>
        <v>0</v>
      </c>
      <c r="J850" s="2">
        <f t="shared" si="2"/>
        <v>0</v>
      </c>
      <c r="K850" s="2" t="str">
        <f t="shared" si="3"/>
        <v/>
      </c>
    </row>
    <row r="851">
      <c r="A851" s="2"/>
      <c r="B851" s="7"/>
      <c r="D851" s="5" t="str">
        <f>IF(A851 = "", "", COUNTIFS('Game Record'!G:G, A851, 'Game Record'!E:E, C851))</f>
        <v/>
      </c>
      <c r="E851" s="6" t="str">
        <f>IF(A851 = "", "", COUNTIFS('Game Record'!H:H, A851, 'Game Record'!E:E, C851))</f>
        <v/>
      </c>
      <c r="F851" s="2">
        <f t="shared" si="1"/>
        <v>0</v>
      </c>
      <c r="G851" s="1" t="str">
        <f>IF(A851 = "", "", COUNTIF('Game Record'!G:G, A851))</f>
        <v/>
      </c>
      <c r="H851" s="6" t="str">
        <f>IF(A851 = "", "", COUNTIF('Game Record'!H:H, A851))</f>
        <v/>
      </c>
      <c r="I851" s="2">
        <f>IFERROR(__xludf.DUMMYFUNCTION("SUM(FILTER(TeamARecordSet, INDEX(TeamARecordSet, 0, 1) = A851)) + SUM(FILTER(TeamBRecordSet, INDEX(TeamBRecordSet, 0, 1) = A851))"),0.0)</f>
        <v>0</v>
      </c>
      <c r="J851" s="2">
        <f t="shared" si="2"/>
        <v>0</v>
      </c>
      <c r="K851" s="2" t="str">
        <f t="shared" si="3"/>
        <v/>
      </c>
    </row>
    <row r="852">
      <c r="A852" s="2"/>
      <c r="B852" s="7"/>
      <c r="D852" s="5" t="str">
        <f>IF(A852 = "", "", COUNTIFS('Game Record'!G:G, A852, 'Game Record'!E:E, C852))</f>
        <v/>
      </c>
      <c r="E852" s="6" t="str">
        <f>IF(A852 = "", "", COUNTIFS('Game Record'!H:H, A852, 'Game Record'!E:E, C852))</f>
        <v/>
      </c>
      <c r="F852" s="2">
        <f t="shared" si="1"/>
        <v>0</v>
      </c>
      <c r="G852" s="1" t="str">
        <f>IF(A852 = "", "", COUNTIF('Game Record'!G:G, A852))</f>
        <v/>
      </c>
      <c r="H852" s="6" t="str">
        <f>IF(A852 = "", "", COUNTIF('Game Record'!H:H, A852))</f>
        <v/>
      </c>
      <c r="I852" s="2">
        <f>IFERROR(__xludf.DUMMYFUNCTION("SUM(FILTER(TeamARecordSet, INDEX(TeamARecordSet, 0, 1) = A852)) + SUM(FILTER(TeamBRecordSet, INDEX(TeamBRecordSet, 0, 1) = A852))"),0.0)</f>
        <v>0</v>
      </c>
      <c r="J852" s="2">
        <f t="shared" si="2"/>
        <v>0</v>
      </c>
      <c r="K852" s="2" t="str">
        <f t="shared" si="3"/>
        <v/>
      </c>
    </row>
    <row r="853">
      <c r="A853" s="2"/>
      <c r="B853" s="7"/>
      <c r="D853" s="5" t="str">
        <f>IF(A853 = "", "", COUNTIFS('Game Record'!G:G, A853, 'Game Record'!E:E, C853))</f>
        <v/>
      </c>
      <c r="E853" s="6" t="str">
        <f>IF(A853 = "", "", COUNTIFS('Game Record'!H:H, A853, 'Game Record'!E:E, C853))</f>
        <v/>
      </c>
      <c r="F853" s="2">
        <f t="shared" si="1"/>
        <v>0</v>
      </c>
      <c r="G853" s="1" t="str">
        <f>IF(A853 = "", "", COUNTIF('Game Record'!G:G, A853))</f>
        <v/>
      </c>
      <c r="H853" s="6" t="str">
        <f>IF(A853 = "", "", COUNTIF('Game Record'!H:H, A853))</f>
        <v/>
      </c>
      <c r="I853" s="2">
        <f>IFERROR(__xludf.DUMMYFUNCTION("SUM(FILTER(TeamARecordSet, INDEX(TeamARecordSet, 0, 1) = A853)) + SUM(FILTER(TeamBRecordSet, INDEX(TeamBRecordSet, 0, 1) = A853))"),0.0)</f>
        <v>0</v>
      </c>
      <c r="J853" s="2">
        <f t="shared" si="2"/>
        <v>0</v>
      </c>
      <c r="K853" s="2" t="str">
        <f t="shared" si="3"/>
        <v/>
      </c>
    </row>
    <row r="854">
      <c r="A854" s="2"/>
      <c r="B854" s="7"/>
      <c r="D854" s="5" t="str">
        <f>IF(A854 = "", "", COUNTIFS('Game Record'!G:G, A854, 'Game Record'!E:E, C854))</f>
        <v/>
      </c>
      <c r="E854" s="6" t="str">
        <f>IF(A854 = "", "", COUNTIFS('Game Record'!H:H, A854, 'Game Record'!E:E, C854))</f>
        <v/>
      </c>
      <c r="F854" s="2">
        <f t="shared" si="1"/>
        <v>0</v>
      </c>
      <c r="G854" s="1" t="str">
        <f>IF(A854 = "", "", COUNTIF('Game Record'!G:G, A854))</f>
        <v/>
      </c>
      <c r="H854" s="6" t="str">
        <f>IF(A854 = "", "", COUNTIF('Game Record'!H:H, A854))</f>
        <v/>
      </c>
      <c r="I854" s="2">
        <f>IFERROR(__xludf.DUMMYFUNCTION("SUM(FILTER(TeamARecordSet, INDEX(TeamARecordSet, 0, 1) = A854)) + SUM(FILTER(TeamBRecordSet, INDEX(TeamBRecordSet, 0, 1) = A854))"),0.0)</f>
        <v>0</v>
      </c>
      <c r="J854" s="2">
        <f t="shared" si="2"/>
        <v>0</v>
      </c>
      <c r="K854" s="2" t="str">
        <f t="shared" si="3"/>
        <v/>
      </c>
    </row>
    <row r="855">
      <c r="A855" s="2"/>
      <c r="B855" s="7"/>
      <c r="D855" s="5" t="str">
        <f>IF(A855 = "", "", COUNTIFS('Game Record'!G:G, A855, 'Game Record'!E:E, C855))</f>
        <v/>
      </c>
      <c r="E855" s="6" t="str">
        <f>IF(A855 = "", "", COUNTIFS('Game Record'!H:H, A855, 'Game Record'!E:E, C855))</f>
        <v/>
      </c>
      <c r="F855" s="2">
        <f t="shared" si="1"/>
        <v>0</v>
      </c>
      <c r="G855" s="1" t="str">
        <f>IF(A855 = "", "", COUNTIF('Game Record'!G:G, A855))</f>
        <v/>
      </c>
      <c r="H855" s="6" t="str">
        <f>IF(A855 = "", "", COUNTIF('Game Record'!H:H, A855))</f>
        <v/>
      </c>
      <c r="I855" s="2">
        <f>IFERROR(__xludf.DUMMYFUNCTION("SUM(FILTER(TeamARecordSet, INDEX(TeamARecordSet, 0, 1) = A855)) + SUM(FILTER(TeamBRecordSet, INDEX(TeamBRecordSet, 0, 1) = A855))"),0.0)</f>
        <v>0</v>
      </c>
      <c r="J855" s="2">
        <f t="shared" si="2"/>
        <v>0</v>
      </c>
      <c r="K855" s="2" t="str">
        <f t="shared" si="3"/>
        <v/>
      </c>
    </row>
    <row r="856">
      <c r="A856" s="2"/>
      <c r="B856" s="7"/>
      <c r="D856" s="5" t="str">
        <f>IF(A856 = "", "", COUNTIFS('Game Record'!G:G, A856, 'Game Record'!E:E, C856))</f>
        <v/>
      </c>
      <c r="E856" s="6" t="str">
        <f>IF(A856 = "", "", COUNTIFS('Game Record'!H:H, A856, 'Game Record'!E:E, C856))</f>
        <v/>
      </c>
      <c r="F856" s="2">
        <f t="shared" si="1"/>
        <v>0</v>
      </c>
      <c r="G856" s="1" t="str">
        <f>IF(A856 = "", "", COUNTIF('Game Record'!G:G, A856))</f>
        <v/>
      </c>
      <c r="H856" s="6" t="str">
        <f>IF(A856 = "", "", COUNTIF('Game Record'!H:H, A856))</f>
        <v/>
      </c>
      <c r="I856" s="2">
        <f>IFERROR(__xludf.DUMMYFUNCTION("SUM(FILTER(TeamARecordSet, INDEX(TeamARecordSet, 0, 1) = A856)) + SUM(FILTER(TeamBRecordSet, INDEX(TeamBRecordSet, 0, 1) = A856))"),0.0)</f>
        <v>0</v>
      </c>
      <c r="J856" s="2">
        <f t="shared" si="2"/>
        <v>0</v>
      </c>
      <c r="K856" s="2" t="str">
        <f t="shared" si="3"/>
        <v/>
      </c>
    </row>
    <row r="857">
      <c r="A857" s="2"/>
      <c r="B857" s="7"/>
      <c r="D857" s="5" t="str">
        <f>IF(A857 = "", "", COUNTIFS('Game Record'!G:G, A857, 'Game Record'!E:E, C857))</f>
        <v/>
      </c>
      <c r="E857" s="6" t="str">
        <f>IF(A857 = "", "", COUNTIFS('Game Record'!H:H, A857, 'Game Record'!E:E, C857))</f>
        <v/>
      </c>
      <c r="F857" s="2">
        <f t="shared" si="1"/>
        <v>0</v>
      </c>
      <c r="G857" s="1" t="str">
        <f>IF(A857 = "", "", COUNTIF('Game Record'!G:G, A857))</f>
        <v/>
      </c>
      <c r="H857" s="6" t="str">
        <f>IF(A857 = "", "", COUNTIF('Game Record'!H:H, A857))</f>
        <v/>
      </c>
      <c r="I857" s="2">
        <f>IFERROR(__xludf.DUMMYFUNCTION("SUM(FILTER(TeamARecordSet, INDEX(TeamARecordSet, 0, 1) = A857)) + SUM(FILTER(TeamBRecordSet, INDEX(TeamBRecordSet, 0, 1) = A857))"),0.0)</f>
        <v>0</v>
      </c>
      <c r="J857" s="2">
        <f t="shared" si="2"/>
        <v>0</v>
      </c>
      <c r="K857" s="2" t="str">
        <f t="shared" si="3"/>
        <v/>
      </c>
    </row>
    <row r="858">
      <c r="A858" s="2"/>
      <c r="B858" s="7"/>
      <c r="D858" s="5" t="str">
        <f>IF(A858 = "", "", COUNTIFS('Game Record'!G:G, A858, 'Game Record'!E:E, C858))</f>
        <v/>
      </c>
      <c r="E858" s="6" t="str">
        <f>IF(A858 = "", "", COUNTIFS('Game Record'!H:H, A858, 'Game Record'!E:E, C858))</f>
        <v/>
      </c>
      <c r="F858" s="2">
        <f t="shared" si="1"/>
        <v>0</v>
      </c>
      <c r="G858" s="1" t="str">
        <f>IF(A858 = "", "", COUNTIF('Game Record'!G:G, A858))</f>
        <v/>
      </c>
      <c r="H858" s="6" t="str">
        <f>IF(A858 = "", "", COUNTIF('Game Record'!H:H, A858))</f>
        <v/>
      </c>
      <c r="I858" s="2">
        <f>IFERROR(__xludf.DUMMYFUNCTION("SUM(FILTER(TeamARecordSet, INDEX(TeamARecordSet, 0, 1) = A858)) + SUM(FILTER(TeamBRecordSet, INDEX(TeamBRecordSet, 0, 1) = A858))"),0.0)</f>
        <v>0</v>
      </c>
      <c r="J858" s="2">
        <f t="shared" si="2"/>
        <v>0</v>
      </c>
      <c r="K858" s="2" t="str">
        <f t="shared" si="3"/>
        <v/>
      </c>
    </row>
    <row r="859">
      <c r="A859" s="2"/>
      <c r="B859" s="7"/>
      <c r="D859" s="5" t="str">
        <f>IF(A859 = "", "", COUNTIFS('Game Record'!G:G, A859, 'Game Record'!E:E, C859))</f>
        <v/>
      </c>
      <c r="E859" s="6" t="str">
        <f>IF(A859 = "", "", COUNTIFS('Game Record'!H:H, A859, 'Game Record'!E:E, C859))</f>
        <v/>
      </c>
      <c r="F859" s="2">
        <f t="shared" si="1"/>
        <v>0</v>
      </c>
      <c r="G859" s="1" t="str">
        <f>IF(A859 = "", "", COUNTIF('Game Record'!G:G, A859))</f>
        <v/>
      </c>
      <c r="H859" s="6" t="str">
        <f>IF(A859 = "", "", COUNTIF('Game Record'!H:H, A859))</f>
        <v/>
      </c>
      <c r="I859" s="2">
        <f>IFERROR(__xludf.DUMMYFUNCTION("SUM(FILTER(TeamARecordSet, INDEX(TeamARecordSet, 0, 1) = A859)) + SUM(FILTER(TeamBRecordSet, INDEX(TeamBRecordSet, 0, 1) = A859))"),0.0)</f>
        <v>0</v>
      </c>
      <c r="J859" s="2">
        <f t="shared" si="2"/>
        <v>0</v>
      </c>
      <c r="K859" s="2" t="str">
        <f t="shared" si="3"/>
        <v/>
      </c>
    </row>
    <row r="860">
      <c r="A860" s="2"/>
      <c r="B860" s="7"/>
      <c r="D860" s="5" t="str">
        <f>IF(A860 = "", "", COUNTIFS('Game Record'!G:G, A860, 'Game Record'!E:E, C860))</f>
        <v/>
      </c>
      <c r="E860" s="6" t="str">
        <f>IF(A860 = "", "", COUNTIFS('Game Record'!H:H, A860, 'Game Record'!E:E, C860))</f>
        <v/>
      </c>
      <c r="F860" s="2">
        <f t="shared" si="1"/>
        <v>0</v>
      </c>
      <c r="G860" s="1" t="str">
        <f>IF(A860 = "", "", COUNTIF('Game Record'!G:G, A860))</f>
        <v/>
      </c>
      <c r="H860" s="6" t="str">
        <f>IF(A860 = "", "", COUNTIF('Game Record'!H:H, A860))</f>
        <v/>
      </c>
      <c r="I860" s="2">
        <f>IFERROR(__xludf.DUMMYFUNCTION("SUM(FILTER(TeamARecordSet, INDEX(TeamARecordSet, 0, 1) = A860)) + SUM(FILTER(TeamBRecordSet, INDEX(TeamBRecordSet, 0, 1) = A860))"),0.0)</f>
        <v>0</v>
      </c>
      <c r="J860" s="2">
        <f t="shared" si="2"/>
        <v>0</v>
      </c>
      <c r="K860" s="2" t="str">
        <f t="shared" si="3"/>
        <v/>
      </c>
    </row>
    <row r="861">
      <c r="A861" s="2"/>
      <c r="B861" s="7"/>
      <c r="D861" s="5" t="str">
        <f>IF(A861 = "", "", COUNTIFS('Game Record'!G:G, A861, 'Game Record'!E:E, C861))</f>
        <v/>
      </c>
      <c r="E861" s="6" t="str">
        <f>IF(A861 = "", "", COUNTIFS('Game Record'!H:H, A861, 'Game Record'!E:E, C861))</f>
        <v/>
      </c>
      <c r="F861" s="2">
        <f t="shared" si="1"/>
        <v>0</v>
      </c>
      <c r="G861" s="1" t="str">
        <f>IF(A861 = "", "", COUNTIF('Game Record'!G:G, A861))</f>
        <v/>
      </c>
      <c r="H861" s="6" t="str">
        <f>IF(A861 = "", "", COUNTIF('Game Record'!H:H, A861))</f>
        <v/>
      </c>
      <c r="I861" s="2">
        <f>IFERROR(__xludf.DUMMYFUNCTION("SUM(FILTER(TeamARecordSet, INDEX(TeamARecordSet, 0, 1) = A861)) + SUM(FILTER(TeamBRecordSet, INDEX(TeamBRecordSet, 0, 1) = A861))"),0.0)</f>
        <v>0</v>
      </c>
      <c r="J861" s="2">
        <f t="shared" si="2"/>
        <v>0</v>
      </c>
      <c r="K861" s="2" t="str">
        <f t="shared" si="3"/>
        <v/>
      </c>
    </row>
    <row r="862">
      <c r="A862" s="2"/>
      <c r="B862" s="7"/>
      <c r="D862" s="5" t="str">
        <f>IF(A862 = "", "", COUNTIFS('Game Record'!G:G, A862, 'Game Record'!E:E, C862))</f>
        <v/>
      </c>
      <c r="E862" s="6" t="str">
        <f>IF(A862 = "", "", COUNTIFS('Game Record'!H:H, A862, 'Game Record'!E:E, C862))</f>
        <v/>
      </c>
      <c r="F862" s="2">
        <f t="shared" si="1"/>
        <v>0</v>
      </c>
      <c r="G862" s="1" t="str">
        <f>IF(A862 = "", "", COUNTIF('Game Record'!G:G, A862))</f>
        <v/>
      </c>
      <c r="H862" s="6" t="str">
        <f>IF(A862 = "", "", COUNTIF('Game Record'!H:H, A862))</f>
        <v/>
      </c>
      <c r="I862" s="2">
        <f>IFERROR(__xludf.DUMMYFUNCTION("SUM(FILTER(TeamARecordSet, INDEX(TeamARecordSet, 0, 1) = A862)) + SUM(FILTER(TeamBRecordSet, INDEX(TeamBRecordSet, 0, 1) = A862))"),0.0)</f>
        <v>0</v>
      </c>
      <c r="J862" s="2">
        <f t="shared" si="2"/>
        <v>0</v>
      </c>
      <c r="K862" s="2" t="str">
        <f t="shared" si="3"/>
        <v/>
      </c>
    </row>
    <row r="863">
      <c r="A863" s="2"/>
      <c r="B863" s="7"/>
      <c r="D863" s="5" t="str">
        <f>IF(A863 = "", "", COUNTIFS('Game Record'!G:G, A863, 'Game Record'!E:E, C863))</f>
        <v/>
      </c>
      <c r="E863" s="6" t="str">
        <f>IF(A863 = "", "", COUNTIFS('Game Record'!H:H, A863, 'Game Record'!E:E, C863))</f>
        <v/>
      </c>
      <c r="F863" s="2">
        <f t="shared" si="1"/>
        <v>0</v>
      </c>
      <c r="G863" s="1" t="str">
        <f>IF(A863 = "", "", COUNTIF('Game Record'!G:G, A863))</f>
        <v/>
      </c>
      <c r="H863" s="6" t="str">
        <f>IF(A863 = "", "", COUNTIF('Game Record'!H:H, A863))</f>
        <v/>
      </c>
      <c r="I863" s="2">
        <f>IFERROR(__xludf.DUMMYFUNCTION("SUM(FILTER(TeamARecordSet, INDEX(TeamARecordSet, 0, 1) = A863)) + SUM(FILTER(TeamBRecordSet, INDEX(TeamBRecordSet, 0, 1) = A863))"),0.0)</f>
        <v>0</v>
      </c>
      <c r="J863" s="2">
        <f t="shared" si="2"/>
        <v>0</v>
      </c>
      <c r="K863" s="2" t="str">
        <f t="shared" si="3"/>
        <v/>
      </c>
    </row>
    <row r="864">
      <c r="A864" s="2"/>
      <c r="B864" s="7"/>
      <c r="D864" s="5" t="str">
        <f>IF(A864 = "", "", COUNTIFS('Game Record'!G:G, A864, 'Game Record'!E:E, C864))</f>
        <v/>
      </c>
      <c r="E864" s="6" t="str">
        <f>IF(A864 = "", "", COUNTIFS('Game Record'!H:H, A864, 'Game Record'!E:E, C864))</f>
        <v/>
      </c>
      <c r="F864" s="2">
        <f t="shared" si="1"/>
        <v>0</v>
      </c>
      <c r="G864" s="1" t="str">
        <f>IF(A864 = "", "", COUNTIF('Game Record'!G:G, A864))</f>
        <v/>
      </c>
      <c r="H864" s="6" t="str">
        <f>IF(A864 = "", "", COUNTIF('Game Record'!H:H, A864))</f>
        <v/>
      </c>
      <c r="I864" s="2">
        <f>IFERROR(__xludf.DUMMYFUNCTION("SUM(FILTER(TeamARecordSet, INDEX(TeamARecordSet, 0, 1) = A864)) + SUM(FILTER(TeamBRecordSet, INDEX(TeamBRecordSet, 0, 1) = A864))"),0.0)</f>
        <v>0</v>
      </c>
      <c r="J864" s="2">
        <f t="shared" si="2"/>
        <v>0</v>
      </c>
      <c r="K864" s="2" t="str">
        <f t="shared" si="3"/>
        <v/>
      </c>
    </row>
    <row r="865">
      <c r="A865" s="2"/>
      <c r="B865" s="7"/>
      <c r="D865" s="5" t="str">
        <f>IF(A865 = "", "", COUNTIFS('Game Record'!G:G, A865, 'Game Record'!E:E, C865))</f>
        <v/>
      </c>
      <c r="E865" s="6" t="str">
        <f>IF(A865 = "", "", COUNTIFS('Game Record'!H:H, A865, 'Game Record'!E:E, C865))</f>
        <v/>
      </c>
      <c r="F865" s="2">
        <f t="shared" si="1"/>
        <v>0</v>
      </c>
      <c r="G865" s="1" t="str">
        <f>IF(A865 = "", "", COUNTIF('Game Record'!G:G, A865))</f>
        <v/>
      </c>
      <c r="H865" s="6" t="str">
        <f>IF(A865 = "", "", COUNTIF('Game Record'!H:H, A865))</f>
        <v/>
      </c>
      <c r="I865" s="2">
        <f>IFERROR(__xludf.DUMMYFUNCTION("SUM(FILTER(TeamARecordSet, INDEX(TeamARecordSet, 0, 1) = A865)) + SUM(FILTER(TeamBRecordSet, INDEX(TeamBRecordSet, 0, 1) = A865))"),0.0)</f>
        <v>0</v>
      </c>
      <c r="J865" s="2">
        <f t="shared" si="2"/>
        <v>0</v>
      </c>
      <c r="K865" s="2" t="str">
        <f t="shared" si="3"/>
        <v/>
      </c>
    </row>
    <row r="866">
      <c r="A866" s="2"/>
      <c r="B866" s="7"/>
      <c r="D866" s="5" t="str">
        <f>IF(A866 = "", "", COUNTIFS('Game Record'!G:G, A866, 'Game Record'!E:E, C866))</f>
        <v/>
      </c>
      <c r="E866" s="6" t="str">
        <f>IF(A866 = "", "", COUNTIFS('Game Record'!H:H, A866, 'Game Record'!E:E, C866))</f>
        <v/>
      </c>
      <c r="F866" s="2">
        <f t="shared" si="1"/>
        <v>0</v>
      </c>
      <c r="G866" s="1" t="str">
        <f>IF(A866 = "", "", COUNTIF('Game Record'!G:G, A866))</f>
        <v/>
      </c>
      <c r="H866" s="6" t="str">
        <f>IF(A866 = "", "", COUNTIF('Game Record'!H:H, A866))</f>
        <v/>
      </c>
      <c r="I866" s="2">
        <f>IFERROR(__xludf.DUMMYFUNCTION("SUM(FILTER(TeamARecordSet, INDEX(TeamARecordSet, 0, 1) = A866)) + SUM(FILTER(TeamBRecordSet, INDEX(TeamBRecordSet, 0, 1) = A866))"),0.0)</f>
        <v>0</v>
      </c>
      <c r="J866" s="2">
        <f t="shared" si="2"/>
        <v>0</v>
      </c>
      <c r="K866" s="2" t="str">
        <f t="shared" si="3"/>
        <v/>
      </c>
    </row>
    <row r="867">
      <c r="A867" s="2"/>
      <c r="B867" s="7"/>
      <c r="D867" s="5" t="str">
        <f>IF(A867 = "", "", COUNTIFS('Game Record'!G:G, A867, 'Game Record'!E:E, C867))</f>
        <v/>
      </c>
      <c r="E867" s="6" t="str">
        <f>IF(A867 = "", "", COUNTIFS('Game Record'!H:H, A867, 'Game Record'!E:E, C867))</f>
        <v/>
      </c>
      <c r="F867" s="2">
        <f t="shared" si="1"/>
        <v>0</v>
      </c>
      <c r="G867" s="1" t="str">
        <f>IF(A867 = "", "", COUNTIF('Game Record'!G:G, A867))</f>
        <v/>
      </c>
      <c r="H867" s="6" t="str">
        <f>IF(A867 = "", "", COUNTIF('Game Record'!H:H, A867))</f>
        <v/>
      </c>
      <c r="I867" s="2">
        <f>IFERROR(__xludf.DUMMYFUNCTION("SUM(FILTER(TeamARecordSet, INDEX(TeamARecordSet, 0, 1) = A867)) + SUM(FILTER(TeamBRecordSet, INDEX(TeamBRecordSet, 0, 1) = A867))"),0.0)</f>
        <v>0</v>
      </c>
      <c r="J867" s="2">
        <f t="shared" si="2"/>
        <v>0</v>
      </c>
      <c r="K867" s="2" t="str">
        <f t="shared" si="3"/>
        <v/>
      </c>
    </row>
    <row r="868">
      <c r="A868" s="2"/>
      <c r="B868" s="7"/>
      <c r="D868" s="5" t="str">
        <f>IF(A868 = "", "", COUNTIFS('Game Record'!G:G, A868, 'Game Record'!E:E, C868))</f>
        <v/>
      </c>
      <c r="E868" s="6" t="str">
        <f>IF(A868 = "", "", COUNTIFS('Game Record'!H:H, A868, 'Game Record'!E:E, C868))</f>
        <v/>
      </c>
      <c r="F868" s="2">
        <f t="shared" si="1"/>
        <v>0</v>
      </c>
      <c r="G868" s="1" t="str">
        <f>IF(A868 = "", "", COUNTIF('Game Record'!G:G, A868))</f>
        <v/>
      </c>
      <c r="H868" s="6" t="str">
        <f>IF(A868 = "", "", COUNTIF('Game Record'!H:H, A868))</f>
        <v/>
      </c>
      <c r="I868" s="2">
        <f>IFERROR(__xludf.DUMMYFUNCTION("SUM(FILTER(TeamARecordSet, INDEX(TeamARecordSet, 0, 1) = A868)) + SUM(FILTER(TeamBRecordSet, INDEX(TeamBRecordSet, 0, 1) = A868))"),0.0)</f>
        <v>0</v>
      </c>
      <c r="J868" s="2">
        <f t="shared" si="2"/>
        <v>0</v>
      </c>
      <c r="K868" s="2" t="str">
        <f t="shared" si="3"/>
        <v/>
      </c>
    </row>
    <row r="869">
      <c r="A869" s="2"/>
      <c r="B869" s="7"/>
      <c r="D869" s="5" t="str">
        <f>IF(A869 = "", "", COUNTIFS('Game Record'!G:G, A869, 'Game Record'!E:E, C869))</f>
        <v/>
      </c>
      <c r="E869" s="6" t="str">
        <f>IF(A869 = "", "", COUNTIFS('Game Record'!H:H, A869, 'Game Record'!E:E, C869))</f>
        <v/>
      </c>
      <c r="F869" s="2">
        <f t="shared" si="1"/>
        <v>0</v>
      </c>
      <c r="G869" s="1" t="str">
        <f>IF(A869 = "", "", COUNTIF('Game Record'!G:G, A869))</f>
        <v/>
      </c>
      <c r="H869" s="6" t="str">
        <f>IF(A869 = "", "", COUNTIF('Game Record'!H:H, A869))</f>
        <v/>
      </c>
      <c r="I869" s="2">
        <f>IFERROR(__xludf.DUMMYFUNCTION("SUM(FILTER(TeamARecordSet, INDEX(TeamARecordSet, 0, 1) = A869)) + SUM(FILTER(TeamBRecordSet, INDEX(TeamBRecordSet, 0, 1) = A869))"),0.0)</f>
        <v>0</v>
      </c>
      <c r="J869" s="2">
        <f t="shared" si="2"/>
        <v>0</v>
      </c>
      <c r="K869" s="2" t="str">
        <f t="shared" si="3"/>
        <v/>
      </c>
    </row>
    <row r="870">
      <c r="A870" s="2"/>
      <c r="B870" s="7"/>
      <c r="D870" s="5" t="str">
        <f>IF(A870 = "", "", COUNTIFS('Game Record'!G:G, A870, 'Game Record'!E:E, C870))</f>
        <v/>
      </c>
      <c r="E870" s="6" t="str">
        <f>IF(A870 = "", "", COUNTIFS('Game Record'!H:H, A870, 'Game Record'!E:E, C870))</f>
        <v/>
      </c>
      <c r="F870" s="2">
        <f t="shared" si="1"/>
        <v>0</v>
      </c>
      <c r="G870" s="1" t="str">
        <f>IF(A870 = "", "", COUNTIF('Game Record'!G:G, A870))</f>
        <v/>
      </c>
      <c r="H870" s="6" t="str">
        <f>IF(A870 = "", "", COUNTIF('Game Record'!H:H, A870))</f>
        <v/>
      </c>
      <c r="I870" s="2">
        <f>IFERROR(__xludf.DUMMYFUNCTION("SUM(FILTER(TeamARecordSet, INDEX(TeamARecordSet, 0, 1) = A870)) + SUM(FILTER(TeamBRecordSet, INDEX(TeamBRecordSet, 0, 1) = A870))"),0.0)</f>
        <v>0</v>
      </c>
      <c r="J870" s="2">
        <f t="shared" si="2"/>
        <v>0</v>
      </c>
      <c r="K870" s="2" t="str">
        <f t="shared" si="3"/>
        <v/>
      </c>
    </row>
    <row r="871">
      <c r="A871" s="2"/>
      <c r="B871" s="7"/>
      <c r="D871" s="5" t="str">
        <f>IF(A871 = "", "", COUNTIFS('Game Record'!G:G, A871, 'Game Record'!E:E, C871))</f>
        <v/>
      </c>
      <c r="E871" s="6" t="str">
        <f>IF(A871 = "", "", COUNTIFS('Game Record'!H:H, A871, 'Game Record'!E:E, C871))</f>
        <v/>
      </c>
      <c r="F871" s="2">
        <f t="shared" si="1"/>
        <v>0</v>
      </c>
      <c r="G871" s="1" t="str">
        <f>IF(A871 = "", "", COUNTIF('Game Record'!G:G, A871))</f>
        <v/>
      </c>
      <c r="H871" s="6" t="str">
        <f>IF(A871 = "", "", COUNTIF('Game Record'!H:H, A871))</f>
        <v/>
      </c>
      <c r="I871" s="2">
        <f>IFERROR(__xludf.DUMMYFUNCTION("SUM(FILTER(TeamARecordSet, INDEX(TeamARecordSet, 0, 1) = A871)) + SUM(FILTER(TeamBRecordSet, INDEX(TeamBRecordSet, 0, 1) = A871))"),0.0)</f>
        <v>0</v>
      </c>
      <c r="J871" s="2">
        <f t="shared" si="2"/>
        <v>0</v>
      </c>
      <c r="K871" s="2" t="str">
        <f t="shared" si="3"/>
        <v/>
      </c>
    </row>
    <row r="872">
      <c r="A872" s="2"/>
      <c r="B872" s="7"/>
      <c r="D872" s="5" t="str">
        <f>IF(A872 = "", "", COUNTIFS('Game Record'!G:G, A872, 'Game Record'!E:E, C872))</f>
        <v/>
      </c>
      <c r="E872" s="6" t="str">
        <f>IF(A872 = "", "", COUNTIFS('Game Record'!H:H, A872, 'Game Record'!E:E, C872))</f>
        <v/>
      </c>
      <c r="F872" s="2">
        <f t="shared" si="1"/>
        <v>0</v>
      </c>
      <c r="G872" s="1" t="str">
        <f>IF(A872 = "", "", COUNTIF('Game Record'!G:G, A872))</f>
        <v/>
      </c>
      <c r="H872" s="6" t="str">
        <f>IF(A872 = "", "", COUNTIF('Game Record'!H:H, A872))</f>
        <v/>
      </c>
      <c r="I872" s="2">
        <f>IFERROR(__xludf.DUMMYFUNCTION("SUM(FILTER(TeamARecordSet, INDEX(TeamARecordSet, 0, 1) = A872)) + SUM(FILTER(TeamBRecordSet, INDEX(TeamBRecordSet, 0, 1) = A872))"),0.0)</f>
        <v>0</v>
      </c>
      <c r="J872" s="2">
        <f t="shared" si="2"/>
        <v>0</v>
      </c>
      <c r="K872" s="2" t="str">
        <f t="shared" si="3"/>
        <v/>
      </c>
    </row>
    <row r="873">
      <c r="A873" s="2"/>
      <c r="B873" s="7"/>
      <c r="D873" s="5" t="str">
        <f>IF(A873 = "", "", COUNTIFS('Game Record'!G:G, A873, 'Game Record'!E:E, C873))</f>
        <v/>
      </c>
      <c r="E873" s="6" t="str">
        <f>IF(A873 = "", "", COUNTIFS('Game Record'!H:H, A873, 'Game Record'!E:E, C873))</f>
        <v/>
      </c>
      <c r="F873" s="2">
        <f t="shared" si="1"/>
        <v>0</v>
      </c>
      <c r="G873" s="1" t="str">
        <f>IF(A873 = "", "", COUNTIF('Game Record'!G:G, A873))</f>
        <v/>
      </c>
      <c r="H873" s="6" t="str">
        <f>IF(A873 = "", "", COUNTIF('Game Record'!H:H, A873))</f>
        <v/>
      </c>
      <c r="I873" s="2">
        <f>IFERROR(__xludf.DUMMYFUNCTION("SUM(FILTER(TeamARecordSet, INDEX(TeamARecordSet, 0, 1) = A873)) + SUM(FILTER(TeamBRecordSet, INDEX(TeamBRecordSet, 0, 1) = A873))"),0.0)</f>
        <v>0</v>
      </c>
      <c r="J873" s="2">
        <f t="shared" si="2"/>
        <v>0</v>
      </c>
      <c r="K873" s="2" t="str">
        <f t="shared" si="3"/>
        <v/>
      </c>
    </row>
    <row r="874">
      <c r="A874" s="2"/>
      <c r="B874" s="7"/>
      <c r="D874" s="5" t="str">
        <f>IF(A874 = "", "", COUNTIFS('Game Record'!G:G, A874, 'Game Record'!E:E, C874))</f>
        <v/>
      </c>
      <c r="E874" s="6" t="str">
        <f>IF(A874 = "", "", COUNTIFS('Game Record'!H:H, A874, 'Game Record'!E:E, C874))</f>
        <v/>
      </c>
      <c r="F874" s="2">
        <f t="shared" si="1"/>
        <v>0</v>
      </c>
      <c r="G874" s="1" t="str">
        <f>IF(A874 = "", "", COUNTIF('Game Record'!G:G, A874))</f>
        <v/>
      </c>
      <c r="H874" s="6" t="str">
        <f>IF(A874 = "", "", COUNTIF('Game Record'!H:H, A874))</f>
        <v/>
      </c>
      <c r="I874" s="2">
        <f>IFERROR(__xludf.DUMMYFUNCTION("SUM(FILTER(TeamARecordSet, INDEX(TeamARecordSet, 0, 1) = A874)) + SUM(FILTER(TeamBRecordSet, INDEX(TeamBRecordSet, 0, 1) = A874))"),0.0)</f>
        <v>0</v>
      </c>
      <c r="J874" s="2">
        <f t="shared" si="2"/>
        <v>0</v>
      </c>
      <c r="K874" s="2" t="str">
        <f t="shared" si="3"/>
        <v/>
      </c>
    </row>
    <row r="875">
      <c r="A875" s="2"/>
      <c r="B875" s="7"/>
      <c r="D875" s="5" t="str">
        <f>IF(A875 = "", "", COUNTIFS('Game Record'!G:G, A875, 'Game Record'!E:E, C875))</f>
        <v/>
      </c>
      <c r="E875" s="6" t="str">
        <f>IF(A875 = "", "", COUNTIFS('Game Record'!H:H, A875, 'Game Record'!E:E, C875))</f>
        <v/>
      </c>
      <c r="F875" s="2">
        <f t="shared" si="1"/>
        <v>0</v>
      </c>
      <c r="G875" s="1" t="str">
        <f>IF(A875 = "", "", COUNTIF('Game Record'!G:G, A875))</f>
        <v/>
      </c>
      <c r="H875" s="6" t="str">
        <f>IF(A875 = "", "", COUNTIF('Game Record'!H:H, A875))</f>
        <v/>
      </c>
      <c r="I875" s="2">
        <f>IFERROR(__xludf.DUMMYFUNCTION("SUM(FILTER(TeamARecordSet, INDEX(TeamARecordSet, 0, 1) = A875)) + SUM(FILTER(TeamBRecordSet, INDEX(TeamBRecordSet, 0, 1) = A875))"),0.0)</f>
        <v>0</v>
      </c>
      <c r="J875" s="2">
        <f t="shared" si="2"/>
        <v>0</v>
      </c>
      <c r="K875" s="2" t="str">
        <f t="shared" si="3"/>
        <v/>
      </c>
    </row>
    <row r="876">
      <c r="A876" s="2"/>
      <c r="B876" s="7"/>
      <c r="D876" s="5" t="str">
        <f>IF(A876 = "", "", COUNTIFS('Game Record'!G:G, A876, 'Game Record'!E:E, C876))</f>
        <v/>
      </c>
      <c r="E876" s="6" t="str">
        <f>IF(A876 = "", "", COUNTIFS('Game Record'!H:H, A876, 'Game Record'!E:E, C876))</f>
        <v/>
      </c>
      <c r="F876" s="2">
        <f t="shared" si="1"/>
        <v>0</v>
      </c>
      <c r="G876" s="1" t="str">
        <f>IF(A876 = "", "", COUNTIF('Game Record'!G:G, A876))</f>
        <v/>
      </c>
      <c r="H876" s="6" t="str">
        <f>IF(A876 = "", "", COUNTIF('Game Record'!H:H, A876))</f>
        <v/>
      </c>
      <c r="I876" s="2">
        <f>IFERROR(__xludf.DUMMYFUNCTION("SUM(FILTER(TeamARecordSet, INDEX(TeamARecordSet, 0, 1) = A876)) + SUM(FILTER(TeamBRecordSet, INDEX(TeamBRecordSet, 0, 1) = A876))"),0.0)</f>
        <v>0</v>
      </c>
      <c r="J876" s="2">
        <f t="shared" si="2"/>
        <v>0</v>
      </c>
      <c r="K876" s="2" t="str">
        <f t="shared" si="3"/>
        <v/>
      </c>
    </row>
    <row r="877">
      <c r="A877" s="2"/>
      <c r="B877" s="7"/>
      <c r="D877" s="5" t="str">
        <f>IF(A877 = "", "", COUNTIFS('Game Record'!G:G, A877, 'Game Record'!E:E, C877))</f>
        <v/>
      </c>
      <c r="E877" s="6" t="str">
        <f>IF(A877 = "", "", COUNTIFS('Game Record'!H:H, A877, 'Game Record'!E:E, C877))</f>
        <v/>
      </c>
      <c r="F877" s="2">
        <f t="shared" si="1"/>
        <v>0</v>
      </c>
      <c r="G877" s="1" t="str">
        <f>IF(A877 = "", "", COUNTIF('Game Record'!G:G, A877))</f>
        <v/>
      </c>
      <c r="H877" s="6" t="str">
        <f>IF(A877 = "", "", COUNTIF('Game Record'!H:H, A877))</f>
        <v/>
      </c>
      <c r="I877" s="2">
        <f>IFERROR(__xludf.DUMMYFUNCTION("SUM(FILTER(TeamARecordSet, INDEX(TeamARecordSet, 0, 1) = A877)) + SUM(FILTER(TeamBRecordSet, INDEX(TeamBRecordSet, 0, 1) = A877))"),0.0)</f>
        <v>0</v>
      </c>
      <c r="J877" s="2">
        <f t="shared" si="2"/>
        <v>0</v>
      </c>
      <c r="K877" s="2" t="str">
        <f t="shared" si="3"/>
        <v/>
      </c>
    </row>
    <row r="878">
      <c r="A878" s="2"/>
      <c r="B878" s="7"/>
      <c r="D878" s="5" t="str">
        <f>IF(A878 = "", "", COUNTIFS('Game Record'!G:G, A878, 'Game Record'!E:E, C878))</f>
        <v/>
      </c>
      <c r="E878" s="6" t="str">
        <f>IF(A878 = "", "", COUNTIFS('Game Record'!H:H, A878, 'Game Record'!E:E, C878))</f>
        <v/>
      </c>
      <c r="F878" s="2">
        <f t="shared" si="1"/>
        <v>0</v>
      </c>
      <c r="G878" s="1" t="str">
        <f>IF(A878 = "", "", COUNTIF('Game Record'!G:G, A878))</f>
        <v/>
      </c>
      <c r="H878" s="6" t="str">
        <f>IF(A878 = "", "", COUNTIF('Game Record'!H:H, A878))</f>
        <v/>
      </c>
      <c r="I878" s="2">
        <f>IFERROR(__xludf.DUMMYFUNCTION("SUM(FILTER(TeamARecordSet, INDEX(TeamARecordSet, 0, 1) = A878)) + SUM(FILTER(TeamBRecordSet, INDEX(TeamBRecordSet, 0, 1) = A878))"),0.0)</f>
        <v>0</v>
      </c>
      <c r="J878" s="2">
        <f t="shared" si="2"/>
        <v>0</v>
      </c>
      <c r="K878" s="2" t="str">
        <f t="shared" si="3"/>
        <v/>
      </c>
    </row>
    <row r="879">
      <c r="A879" s="2"/>
      <c r="B879" s="7"/>
      <c r="D879" s="5" t="str">
        <f>IF(A879 = "", "", COUNTIFS('Game Record'!G:G, A879, 'Game Record'!E:E, C879))</f>
        <v/>
      </c>
      <c r="E879" s="6" t="str">
        <f>IF(A879 = "", "", COUNTIFS('Game Record'!H:H, A879, 'Game Record'!E:E, C879))</f>
        <v/>
      </c>
      <c r="F879" s="2">
        <f t="shared" si="1"/>
        <v>0</v>
      </c>
      <c r="G879" s="1" t="str">
        <f>IF(A879 = "", "", COUNTIF('Game Record'!G:G, A879))</f>
        <v/>
      </c>
      <c r="H879" s="6" t="str">
        <f>IF(A879 = "", "", COUNTIF('Game Record'!H:H, A879))</f>
        <v/>
      </c>
      <c r="I879" s="2">
        <f>IFERROR(__xludf.DUMMYFUNCTION("SUM(FILTER(TeamARecordSet, INDEX(TeamARecordSet, 0, 1) = A879)) + SUM(FILTER(TeamBRecordSet, INDEX(TeamBRecordSet, 0, 1) = A879))"),0.0)</f>
        <v>0</v>
      </c>
      <c r="J879" s="2">
        <f t="shared" si="2"/>
        <v>0</v>
      </c>
      <c r="K879" s="2" t="str">
        <f t="shared" si="3"/>
        <v/>
      </c>
    </row>
    <row r="880">
      <c r="A880" s="2"/>
      <c r="B880" s="7"/>
      <c r="D880" s="5" t="str">
        <f>IF(A880 = "", "", COUNTIFS('Game Record'!G:G, A880, 'Game Record'!E:E, C880))</f>
        <v/>
      </c>
      <c r="E880" s="6" t="str">
        <f>IF(A880 = "", "", COUNTIFS('Game Record'!H:H, A880, 'Game Record'!E:E, C880))</f>
        <v/>
      </c>
      <c r="F880" s="2">
        <f t="shared" si="1"/>
        <v>0</v>
      </c>
      <c r="G880" s="1" t="str">
        <f>IF(A880 = "", "", COUNTIF('Game Record'!G:G, A880))</f>
        <v/>
      </c>
      <c r="H880" s="6" t="str">
        <f>IF(A880 = "", "", COUNTIF('Game Record'!H:H, A880))</f>
        <v/>
      </c>
      <c r="I880" s="2">
        <f>IFERROR(__xludf.DUMMYFUNCTION("SUM(FILTER(TeamARecordSet, INDEX(TeamARecordSet, 0, 1) = A880)) + SUM(FILTER(TeamBRecordSet, INDEX(TeamBRecordSet, 0, 1) = A880))"),0.0)</f>
        <v>0</v>
      </c>
      <c r="J880" s="2">
        <f t="shared" si="2"/>
        <v>0</v>
      </c>
      <c r="K880" s="2" t="str">
        <f t="shared" si="3"/>
        <v/>
      </c>
    </row>
    <row r="881">
      <c r="A881" s="2"/>
      <c r="B881" s="7"/>
      <c r="D881" s="5" t="str">
        <f>IF(A881 = "", "", COUNTIFS('Game Record'!G:G, A881, 'Game Record'!E:E, C881))</f>
        <v/>
      </c>
      <c r="E881" s="6" t="str">
        <f>IF(A881 = "", "", COUNTIFS('Game Record'!H:H, A881, 'Game Record'!E:E, C881))</f>
        <v/>
      </c>
      <c r="F881" s="2">
        <f t="shared" si="1"/>
        <v>0</v>
      </c>
      <c r="G881" s="1" t="str">
        <f>IF(A881 = "", "", COUNTIF('Game Record'!G:G, A881))</f>
        <v/>
      </c>
      <c r="H881" s="6" t="str">
        <f>IF(A881 = "", "", COUNTIF('Game Record'!H:H, A881))</f>
        <v/>
      </c>
      <c r="I881" s="2">
        <f>IFERROR(__xludf.DUMMYFUNCTION("SUM(FILTER(TeamARecordSet, INDEX(TeamARecordSet, 0, 1) = A881)) + SUM(FILTER(TeamBRecordSet, INDEX(TeamBRecordSet, 0, 1) = A881))"),0.0)</f>
        <v>0</v>
      </c>
      <c r="J881" s="2">
        <f t="shared" si="2"/>
        <v>0</v>
      </c>
      <c r="K881" s="2" t="str">
        <f t="shared" si="3"/>
        <v/>
      </c>
    </row>
    <row r="882">
      <c r="A882" s="2"/>
      <c r="B882" s="7"/>
      <c r="D882" s="5" t="str">
        <f>IF(A882 = "", "", COUNTIFS('Game Record'!G:G, A882, 'Game Record'!E:E, C882))</f>
        <v/>
      </c>
      <c r="E882" s="6" t="str">
        <f>IF(A882 = "", "", COUNTIFS('Game Record'!H:H, A882, 'Game Record'!E:E, C882))</f>
        <v/>
      </c>
      <c r="F882" s="2">
        <f t="shared" si="1"/>
        <v>0</v>
      </c>
      <c r="G882" s="1" t="str">
        <f>IF(A882 = "", "", COUNTIF('Game Record'!G:G, A882))</f>
        <v/>
      </c>
      <c r="H882" s="6" t="str">
        <f>IF(A882 = "", "", COUNTIF('Game Record'!H:H, A882))</f>
        <v/>
      </c>
      <c r="I882" s="2">
        <f>IFERROR(__xludf.DUMMYFUNCTION("SUM(FILTER(TeamARecordSet, INDEX(TeamARecordSet, 0, 1) = A882)) + SUM(FILTER(TeamBRecordSet, INDEX(TeamBRecordSet, 0, 1) = A882))"),0.0)</f>
        <v>0</v>
      </c>
      <c r="J882" s="2">
        <f t="shared" si="2"/>
        <v>0</v>
      </c>
      <c r="K882" s="2" t="str">
        <f t="shared" si="3"/>
        <v/>
      </c>
    </row>
    <row r="883">
      <c r="A883" s="2"/>
      <c r="B883" s="7"/>
      <c r="D883" s="5" t="str">
        <f>IF(A883 = "", "", COUNTIFS('Game Record'!G:G, A883, 'Game Record'!E:E, C883))</f>
        <v/>
      </c>
      <c r="E883" s="6" t="str">
        <f>IF(A883 = "", "", COUNTIFS('Game Record'!H:H, A883, 'Game Record'!E:E, C883))</f>
        <v/>
      </c>
      <c r="F883" s="2">
        <f t="shared" si="1"/>
        <v>0</v>
      </c>
      <c r="G883" s="1" t="str">
        <f>IF(A883 = "", "", COUNTIF('Game Record'!G:G, A883))</f>
        <v/>
      </c>
      <c r="H883" s="6" t="str">
        <f>IF(A883 = "", "", COUNTIF('Game Record'!H:H, A883))</f>
        <v/>
      </c>
      <c r="I883" s="2">
        <f>IFERROR(__xludf.DUMMYFUNCTION("SUM(FILTER(TeamARecordSet, INDEX(TeamARecordSet, 0, 1) = A883)) + SUM(FILTER(TeamBRecordSet, INDEX(TeamBRecordSet, 0, 1) = A883))"),0.0)</f>
        <v>0</v>
      </c>
      <c r="J883" s="2">
        <f t="shared" si="2"/>
        <v>0</v>
      </c>
      <c r="K883" s="2" t="str">
        <f t="shared" si="3"/>
        <v/>
      </c>
    </row>
    <row r="884">
      <c r="A884" s="2"/>
      <c r="B884" s="7"/>
      <c r="D884" s="5" t="str">
        <f>IF(A884 = "", "", COUNTIFS('Game Record'!G:G, A884, 'Game Record'!E:E, C884))</f>
        <v/>
      </c>
      <c r="E884" s="6" t="str">
        <f>IF(A884 = "", "", COUNTIFS('Game Record'!H:H, A884, 'Game Record'!E:E, C884))</f>
        <v/>
      </c>
      <c r="F884" s="2">
        <f t="shared" si="1"/>
        <v>0</v>
      </c>
      <c r="G884" s="1" t="str">
        <f>IF(A884 = "", "", COUNTIF('Game Record'!G:G, A884))</f>
        <v/>
      </c>
      <c r="H884" s="6" t="str">
        <f>IF(A884 = "", "", COUNTIF('Game Record'!H:H, A884))</f>
        <v/>
      </c>
      <c r="I884" s="2">
        <f>IFERROR(__xludf.DUMMYFUNCTION("SUM(FILTER(TeamARecordSet, INDEX(TeamARecordSet, 0, 1) = A884)) + SUM(FILTER(TeamBRecordSet, INDEX(TeamBRecordSet, 0, 1) = A884))"),0.0)</f>
        <v>0</v>
      </c>
      <c r="J884" s="2">
        <f t="shared" si="2"/>
        <v>0</v>
      </c>
      <c r="K884" s="2" t="str">
        <f t="shared" si="3"/>
        <v/>
      </c>
    </row>
    <row r="885">
      <c r="A885" s="2"/>
      <c r="B885" s="7"/>
      <c r="D885" s="5" t="str">
        <f>IF(A885 = "", "", COUNTIFS('Game Record'!G:G, A885, 'Game Record'!E:E, C885))</f>
        <v/>
      </c>
      <c r="E885" s="6" t="str">
        <f>IF(A885 = "", "", COUNTIFS('Game Record'!H:H, A885, 'Game Record'!E:E, C885))</f>
        <v/>
      </c>
      <c r="F885" s="2">
        <f t="shared" si="1"/>
        <v>0</v>
      </c>
      <c r="G885" s="1" t="str">
        <f>IF(A885 = "", "", COUNTIF('Game Record'!G:G, A885))</f>
        <v/>
      </c>
      <c r="H885" s="6" t="str">
        <f>IF(A885 = "", "", COUNTIF('Game Record'!H:H, A885))</f>
        <v/>
      </c>
      <c r="I885" s="2">
        <f>IFERROR(__xludf.DUMMYFUNCTION("SUM(FILTER(TeamARecordSet, INDEX(TeamARecordSet, 0, 1) = A885)) + SUM(FILTER(TeamBRecordSet, INDEX(TeamBRecordSet, 0, 1) = A885))"),0.0)</f>
        <v>0</v>
      </c>
      <c r="J885" s="2">
        <f t="shared" si="2"/>
        <v>0</v>
      </c>
      <c r="K885" s="2" t="str">
        <f t="shared" si="3"/>
        <v/>
      </c>
    </row>
    <row r="886">
      <c r="A886" s="2"/>
      <c r="B886" s="7"/>
      <c r="D886" s="5" t="str">
        <f>IF(A886 = "", "", COUNTIFS('Game Record'!G:G, A886, 'Game Record'!E:E, C886))</f>
        <v/>
      </c>
      <c r="E886" s="6" t="str">
        <f>IF(A886 = "", "", COUNTIFS('Game Record'!H:H, A886, 'Game Record'!E:E, C886))</f>
        <v/>
      </c>
      <c r="F886" s="2">
        <f t="shared" si="1"/>
        <v>0</v>
      </c>
      <c r="G886" s="1" t="str">
        <f>IF(A886 = "", "", COUNTIF('Game Record'!G:G, A886))</f>
        <v/>
      </c>
      <c r="H886" s="6" t="str">
        <f>IF(A886 = "", "", COUNTIF('Game Record'!H:H, A886))</f>
        <v/>
      </c>
      <c r="I886" s="2">
        <f>IFERROR(__xludf.DUMMYFUNCTION("SUM(FILTER(TeamARecordSet, INDEX(TeamARecordSet, 0, 1) = A886)) + SUM(FILTER(TeamBRecordSet, INDEX(TeamBRecordSet, 0, 1) = A886))"),0.0)</f>
        <v>0</v>
      </c>
      <c r="J886" s="2">
        <f t="shared" si="2"/>
        <v>0</v>
      </c>
      <c r="K886" s="2" t="str">
        <f t="shared" si="3"/>
        <v/>
      </c>
    </row>
    <row r="887">
      <c r="A887" s="2"/>
      <c r="B887" s="7"/>
      <c r="D887" s="5" t="str">
        <f>IF(A887 = "", "", COUNTIFS('Game Record'!G:G, A887, 'Game Record'!E:E, C887))</f>
        <v/>
      </c>
      <c r="E887" s="6" t="str">
        <f>IF(A887 = "", "", COUNTIFS('Game Record'!H:H, A887, 'Game Record'!E:E, C887))</f>
        <v/>
      </c>
      <c r="F887" s="2">
        <f t="shared" si="1"/>
        <v>0</v>
      </c>
      <c r="G887" s="1" t="str">
        <f>IF(A887 = "", "", COUNTIF('Game Record'!G:G, A887))</f>
        <v/>
      </c>
      <c r="H887" s="6" t="str">
        <f>IF(A887 = "", "", COUNTIF('Game Record'!H:H, A887))</f>
        <v/>
      </c>
      <c r="I887" s="2">
        <f>IFERROR(__xludf.DUMMYFUNCTION("SUM(FILTER(TeamARecordSet, INDEX(TeamARecordSet, 0, 1) = A887)) + SUM(FILTER(TeamBRecordSet, INDEX(TeamBRecordSet, 0, 1) = A887))"),0.0)</f>
        <v>0</v>
      </c>
      <c r="J887" s="2">
        <f t="shared" si="2"/>
        <v>0</v>
      </c>
      <c r="K887" s="2" t="str">
        <f t="shared" si="3"/>
        <v/>
      </c>
    </row>
    <row r="888">
      <c r="A888" s="2"/>
      <c r="B888" s="7"/>
      <c r="D888" s="5" t="str">
        <f>IF(A888 = "", "", COUNTIFS('Game Record'!G:G, A888, 'Game Record'!E:E, C888))</f>
        <v/>
      </c>
      <c r="E888" s="6" t="str">
        <f>IF(A888 = "", "", COUNTIFS('Game Record'!H:H, A888, 'Game Record'!E:E, C888))</f>
        <v/>
      </c>
      <c r="F888" s="2">
        <f t="shared" si="1"/>
        <v>0</v>
      </c>
      <c r="G888" s="1" t="str">
        <f>IF(A888 = "", "", COUNTIF('Game Record'!G:G, A888))</f>
        <v/>
      </c>
      <c r="H888" s="6" t="str">
        <f>IF(A888 = "", "", COUNTIF('Game Record'!H:H, A888))</f>
        <v/>
      </c>
      <c r="I888" s="2">
        <f>IFERROR(__xludf.DUMMYFUNCTION("SUM(FILTER(TeamARecordSet, INDEX(TeamARecordSet, 0, 1) = A888)) + SUM(FILTER(TeamBRecordSet, INDEX(TeamBRecordSet, 0, 1) = A888))"),0.0)</f>
        <v>0</v>
      </c>
      <c r="J888" s="2">
        <f t="shared" si="2"/>
        <v>0</v>
      </c>
      <c r="K888" s="2" t="str">
        <f t="shared" si="3"/>
        <v/>
      </c>
    </row>
    <row r="889">
      <c r="A889" s="2"/>
      <c r="B889" s="7"/>
      <c r="D889" s="5" t="str">
        <f>IF(A889 = "", "", COUNTIFS('Game Record'!G:G, A889, 'Game Record'!E:E, C889))</f>
        <v/>
      </c>
      <c r="E889" s="6" t="str">
        <f>IF(A889 = "", "", COUNTIFS('Game Record'!H:H, A889, 'Game Record'!E:E, C889))</f>
        <v/>
      </c>
      <c r="F889" s="2">
        <f t="shared" si="1"/>
        <v>0</v>
      </c>
      <c r="G889" s="1" t="str">
        <f>IF(A889 = "", "", COUNTIF('Game Record'!G:G, A889))</f>
        <v/>
      </c>
      <c r="H889" s="6" t="str">
        <f>IF(A889 = "", "", COUNTIF('Game Record'!H:H, A889))</f>
        <v/>
      </c>
      <c r="I889" s="2">
        <f>IFERROR(__xludf.DUMMYFUNCTION("SUM(FILTER(TeamARecordSet, INDEX(TeamARecordSet, 0, 1) = A889)) + SUM(FILTER(TeamBRecordSet, INDEX(TeamBRecordSet, 0, 1) = A889))"),0.0)</f>
        <v>0</v>
      </c>
      <c r="J889" s="2">
        <f t="shared" si="2"/>
        <v>0</v>
      </c>
      <c r="K889" s="2" t="str">
        <f t="shared" si="3"/>
        <v/>
      </c>
    </row>
    <row r="890">
      <c r="A890" s="2"/>
      <c r="B890" s="7"/>
      <c r="D890" s="5" t="str">
        <f>IF(A890 = "", "", COUNTIFS('Game Record'!G:G, A890, 'Game Record'!E:E, C890))</f>
        <v/>
      </c>
      <c r="E890" s="6" t="str">
        <f>IF(A890 = "", "", COUNTIFS('Game Record'!H:H, A890, 'Game Record'!E:E, C890))</f>
        <v/>
      </c>
      <c r="F890" s="2">
        <f t="shared" si="1"/>
        <v>0</v>
      </c>
      <c r="G890" s="1" t="str">
        <f>IF(A890 = "", "", COUNTIF('Game Record'!G:G, A890))</f>
        <v/>
      </c>
      <c r="H890" s="6" t="str">
        <f>IF(A890 = "", "", COUNTIF('Game Record'!H:H, A890))</f>
        <v/>
      </c>
      <c r="I890" s="2">
        <f>IFERROR(__xludf.DUMMYFUNCTION("SUM(FILTER(TeamARecordSet, INDEX(TeamARecordSet, 0, 1) = A890)) + SUM(FILTER(TeamBRecordSet, INDEX(TeamBRecordSet, 0, 1) = A890))"),0.0)</f>
        <v>0</v>
      </c>
      <c r="J890" s="2">
        <f t="shared" si="2"/>
        <v>0</v>
      </c>
      <c r="K890" s="2" t="str">
        <f t="shared" si="3"/>
        <v/>
      </c>
    </row>
    <row r="891">
      <c r="A891" s="2"/>
      <c r="B891" s="7"/>
      <c r="D891" s="5" t="str">
        <f>IF(A891 = "", "", COUNTIFS('Game Record'!G:G, A891, 'Game Record'!E:E, C891))</f>
        <v/>
      </c>
      <c r="E891" s="6" t="str">
        <f>IF(A891 = "", "", COUNTIFS('Game Record'!H:H, A891, 'Game Record'!E:E, C891))</f>
        <v/>
      </c>
      <c r="F891" s="2">
        <f t="shared" si="1"/>
        <v>0</v>
      </c>
      <c r="G891" s="1" t="str">
        <f>IF(A891 = "", "", COUNTIF('Game Record'!G:G, A891))</f>
        <v/>
      </c>
      <c r="H891" s="6" t="str">
        <f>IF(A891 = "", "", COUNTIF('Game Record'!H:H, A891))</f>
        <v/>
      </c>
      <c r="I891" s="2">
        <f>IFERROR(__xludf.DUMMYFUNCTION("SUM(FILTER(TeamARecordSet, INDEX(TeamARecordSet, 0, 1) = A891)) + SUM(FILTER(TeamBRecordSet, INDEX(TeamBRecordSet, 0, 1) = A891))"),0.0)</f>
        <v>0</v>
      </c>
      <c r="J891" s="2">
        <f t="shared" si="2"/>
        <v>0</v>
      </c>
      <c r="K891" s="2" t="str">
        <f t="shared" si="3"/>
        <v/>
      </c>
    </row>
    <row r="892">
      <c r="A892" s="2"/>
      <c r="B892" s="7"/>
      <c r="D892" s="5" t="str">
        <f>IF(A892 = "", "", COUNTIFS('Game Record'!G:G, A892, 'Game Record'!E:E, C892))</f>
        <v/>
      </c>
      <c r="E892" s="6" t="str">
        <f>IF(A892 = "", "", COUNTIFS('Game Record'!H:H, A892, 'Game Record'!E:E, C892))</f>
        <v/>
      </c>
      <c r="F892" s="2">
        <f t="shared" si="1"/>
        <v>0</v>
      </c>
      <c r="G892" s="1" t="str">
        <f>IF(A892 = "", "", COUNTIF('Game Record'!G:G, A892))</f>
        <v/>
      </c>
      <c r="H892" s="6" t="str">
        <f>IF(A892 = "", "", COUNTIF('Game Record'!H:H, A892))</f>
        <v/>
      </c>
      <c r="I892" s="2">
        <f>IFERROR(__xludf.DUMMYFUNCTION("SUM(FILTER(TeamARecordSet, INDEX(TeamARecordSet, 0, 1) = A892)) + SUM(FILTER(TeamBRecordSet, INDEX(TeamBRecordSet, 0, 1) = A892))"),0.0)</f>
        <v>0</v>
      </c>
      <c r="J892" s="2">
        <f t="shared" si="2"/>
        <v>0</v>
      </c>
      <c r="K892" s="2" t="str">
        <f t="shared" si="3"/>
        <v/>
      </c>
    </row>
    <row r="893">
      <c r="A893" s="2"/>
      <c r="B893" s="7"/>
      <c r="D893" s="5" t="str">
        <f>IF(A893 = "", "", COUNTIFS('Game Record'!G:G, A893, 'Game Record'!E:E, C893))</f>
        <v/>
      </c>
      <c r="E893" s="6" t="str">
        <f>IF(A893 = "", "", COUNTIFS('Game Record'!H:H, A893, 'Game Record'!E:E, C893))</f>
        <v/>
      </c>
      <c r="F893" s="2">
        <f t="shared" si="1"/>
        <v>0</v>
      </c>
      <c r="G893" s="1" t="str">
        <f>IF(A893 = "", "", COUNTIF('Game Record'!G:G, A893))</f>
        <v/>
      </c>
      <c r="H893" s="6" t="str">
        <f>IF(A893 = "", "", COUNTIF('Game Record'!H:H, A893))</f>
        <v/>
      </c>
      <c r="I893" s="2">
        <f>IFERROR(__xludf.DUMMYFUNCTION("SUM(FILTER(TeamARecordSet, INDEX(TeamARecordSet, 0, 1) = A893)) + SUM(FILTER(TeamBRecordSet, INDEX(TeamBRecordSet, 0, 1) = A893))"),0.0)</f>
        <v>0</v>
      </c>
      <c r="J893" s="2">
        <f t="shared" si="2"/>
        <v>0</v>
      </c>
      <c r="K893" s="2" t="str">
        <f t="shared" si="3"/>
        <v/>
      </c>
    </row>
    <row r="894">
      <c r="A894" s="2"/>
      <c r="B894" s="7"/>
      <c r="D894" s="5" t="str">
        <f>IF(A894 = "", "", COUNTIFS('Game Record'!G:G, A894, 'Game Record'!E:E, C894))</f>
        <v/>
      </c>
      <c r="E894" s="6" t="str">
        <f>IF(A894 = "", "", COUNTIFS('Game Record'!H:H, A894, 'Game Record'!E:E, C894))</f>
        <v/>
      </c>
      <c r="F894" s="2">
        <f t="shared" si="1"/>
        <v>0</v>
      </c>
      <c r="G894" s="1" t="str">
        <f>IF(A894 = "", "", COUNTIF('Game Record'!G:G, A894))</f>
        <v/>
      </c>
      <c r="H894" s="6" t="str">
        <f>IF(A894 = "", "", COUNTIF('Game Record'!H:H, A894))</f>
        <v/>
      </c>
      <c r="I894" s="2">
        <f>IFERROR(__xludf.DUMMYFUNCTION("SUM(FILTER(TeamARecordSet, INDEX(TeamARecordSet, 0, 1) = A894)) + SUM(FILTER(TeamBRecordSet, INDEX(TeamBRecordSet, 0, 1) = A894))"),0.0)</f>
        <v>0</v>
      </c>
      <c r="J894" s="2">
        <f t="shared" si="2"/>
        <v>0</v>
      </c>
      <c r="K894" s="2" t="str">
        <f t="shared" si="3"/>
        <v/>
      </c>
    </row>
    <row r="895">
      <c r="A895" s="2"/>
      <c r="B895" s="7"/>
      <c r="D895" s="5" t="str">
        <f>IF(A895 = "", "", COUNTIFS('Game Record'!G:G, A895, 'Game Record'!E:E, C895))</f>
        <v/>
      </c>
      <c r="E895" s="6" t="str">
        <f>IF(A895 = "", "", COUNTIFS('Game Record'!H:H, A895, 'Game Record'!E:E, C895))</f>
        <v/>
      </c>
      <c r="F895" s="2">
        <f t="shared" si="1"/>
        <v>0</v>
      </c>
      <c r="G895" s="1" t="str">
        <f>IF(A895 = "", "", COUNTIF('Game Record'!G:G, A895))</f>
        <v/>
      </c>
      <c r="H895" s="6" t="str">
        <f>IF(A895 = "", "", COUNTIF('Game Record'!H:H, A895))</f>
        <v/>
      </c>
      <c r="I895" s="2">
        <f>IFERROR(__xludf.DUMMYFUNCTION("SUM(FILTER(TeamARecordSet, INDEX(TeamARecordSet, 0, 1) = A895)) + SUM(FILTER(TeamBRecordSet, INDEX(TeamBRecordSet, 0, 1) = A895))"),0.0)</f>
        <v>0</v>
      </c>
      <c r="J895" s="2">
        <f t="shared" si="2"/>
        <v>0</v>
      </c>
      <c r="K895" s="2" t="str">
        <f t="shared" si="3"/>
        <v/>
      </c>
    </row>
    <row r="896">
      <c r="A896" s="2"/>
      <c r="B896" s="7"/>
      <c r="D896" s="5" t="str">
        <f>IF(A896 = "", "", COUNTIFS('Game Record'!G:G, A896, 'Game Record'!E:E, C896))</f>
        <v/>
      </c>
      <c r="E896" s="6" t="str">
        <f>IF(A896 = "", "", COUNTIFS('Game Record'!H:H, A896, 'Game Record'!E:E, C896))</f>
        <v/>
      </c>
      <c r="F896" s="2">
        <f t="shared" si="1"/>
        <v>0</v>
      </c>
      <c r="G896" s="1" t="str">
        <f>IF(A896 = "", "", COUNTIF('Game Record'!G:G, A896))</f>
        <v/>
      </c>
      <c r="H896" s="6" t="str">
        <f>IF(A896 = "", "", COUNTIF('Game Record'!H:H, A896))</f>
        <v/>
      </c>
      <c r="I896" s="2">
        <f>IFERROR(__xludf.DUMMYFUNCTION("SUM(FILTER(TeamARecordSet, INDEX(TeamARecordSet, 0, 1) = A896)) + SUM(FILTER(TeamBRecordSet, INDEX(TeamBRecordSet, 0, 1) = A896))"),0.0)</f>
        <v>0</v>
      </c>
      <c r="J896" s="2">
        <f t="shared" si="2"/>
        <v>0</v>
      </c>
      <c r="K896" s="2" t="str">
        <f t="shared" si="3"/>
        <v/>
      </c>
    </row>
    <row r="897">
      <c r="A897" s="2"/>
      <c r="B897" s="7"/>
      <c r="D897" s="5" t="str">
        <f>IF(A897 = "", "", COUNTIFS('Game Record'!G:G, A897, 'Game Record'!E:E, C897))</f>
        <v/>
      </c>
      <c r="E897" s="6" t="str">
        <f>IF(A897 = "", "", COUNTIFS('Game Record'!H:H, A897, 'Game Record'!E:E, C897))</f>
        <v/>
      </c>
      <c r="F897" s="2">
        <f t="shared" si="1"/>
        <v>0</v>
      </c>
      <c r="G897" s="1" t="str">
        <f>IF(A897 = "", "", COUNTIF('Game Record'!G:G, A897))</f>
        <v/>
      </c>
      <c r="H897" s="6" t="str">
        <f>IF(A897 = "", "", COUNTIF('Game Record'!H:H, A897))</f>
        <v/>
      </c>
      <c r="I897" s="2">
        <f>IFERROR(__xludf.DUMMYFUNCTION("SUM(FILTER(TeamARecordSet, INDEX(TeamARecordSet, 0, 1) = A897)) + SUM(FILTER(TeamBRecordSet, INDEX(TeamBRecordSet, 0, 1) = A897))"),0.0)</f>
        <v>0</v>
      </c>
      <c r="J897" s="2">
        <f t="shared" si="2"/>
        <v>0</v>
      </c>
      <c r="K897" s="2" t="str">
        <f t="shared" si="3"/>
        <v/>
      </c>
    </row>
    <row r="898">
      <c r="A898" s="2"/>
      <c r="B898" s="7"/>
      <c r="D898" s="5" t="str">
        <f>IF(A898 = "", "", COUNTIFS('Game Record'!G:G, A898, 'Game Record'!E:E, C898))</f>
        <v/>
      </c>
      <c r="E898" s="6" t="str">
        <f>IF(A898 = "", "", COUNTIFS('Game Record'!H:H, A898, 'Game Record'!E:E, C898))</f>
        <v/>
      </c>
      <c r="F898" s="2">
        <f t="shared" si="1"/>
        <v>0</v>
      </c>
      <c r="G898" s="1" t="str">
        <f>IF(A898 = "", "", COUNTIF('Game Record'!G:G, A898))</f>
        <v/>
      </c>
      <c r="H898" s="6" t="str">
        <f>IF(A898 = "", "", COUNTIF('Game Record'!H:H, A898))</f>
        <v/>
      </c>
      <c r="I898" s="2">
        <f>IFERROR(__xludf.DUMMYFUNCTION("SUM(FILTER(TeamARecordSet, INDEX(TeamARecordSet, 0, 1) = A898)) + SUM(FILTER(TeamBRecordSet, INDEX(TeamBRecordSet, 0, 1) = A898))"),0.0)</f>
        <v>0</v>
      </c>
      <c r="J898" s="2">
        <f t="shared" si="2"/>
        <v>0</v>
      </c>
      <c r="K898" s="2" t="str">
        <f t="shared" si="3"/>
        <v/>
      </c>
    </row>
    <row r="899">
      <c r="A899" s="2"/>
      <c r="B899" s="7"/>
      <c r="D899" s="5" t="str">
        <f>IF(A899 = "", "", COUNTIFS('Game Record'!G:G, A899, 'Game Record'!E:E, C899))</f>
        <v/>
      </c>
      <c r="E899" s="6" t="str">
        <f>IF(A899 = "", "", COUNTIFS('Game Record'!H:H, A899, 'Game Record'!E:E, C899))</f>
        <v/>
      </c>
      <c r="F899" s="2">
        <f t="shared" si="1"/>
        <v>0</v>
      </c>
      <c r="G899" s="1" t="str">
        <f>IF(A899 = "", "", COUNTIF('Game Record'!G:G, A899))</f>
        <v/>
      </c>
      <c r="H899" s="6" t="str">
        <f>IF(A899 = "", "", COUNTIF('Game Record'!H:H, A899))</f>
        <v/>
      </c>
      <c r="I899" s="2">
        <f>IFERROR(__xludf.DUMMYFUNCTION("SUM(FILTER(TeamARecordSet, INDEX(TeamARecordSet, 0, 1) = A899)) + SUM(FILTER(TeamBRecordSet, INDEX(TeamBRecordSet, 0, 1) = A899))"),0.0)</f>
        <v>0</v>
      </c>
      <c r="J899" s="2">
        <f t="shared" si="2"/>
        <v>0</v>
      </c>
      <c r="K899" s="2" t="str">
        <f t="shared" si="3"/>
        <v/>
      </c>
    </row>
    <row r="900">
      <c r="A900" s="2"/>
      <c r="B900" s="7"/>
      <c r="D900" s="5" t="str">
        <f>IF(A900 = "", "", COUNTIFS('Game Record'!G:G, A900, 'Game Record'!E:E, C900))</f>
        <v/>
      </c>
      <c r="E900" s="6" t="str">
        <f>IF(A900 = "", "", COUNTIFS('Game Record'!H:H, A900, 'Game Record'!E:E, C900))</f>
        <v/>
      </c>
      <c r="F900" s="2">
        <f t="shared" si="1"/>
        <v>0</v>
      </c>
      <c r="G900" s="1" t="str">
        <f>IF(A900 = "", "", COUNTIF('Game Record'!G:G, A900))</f>
        <v/>
      </c>
      <c r="H900" s="6" t="str">
        <f>IF(A900 = "", "", COUNTIF('Game Record'!H:H, A900))</f>
        <v/>
      </c>
      <c r="I900" s="2">
        <f>IFERROR(__xludf.DUMMYFUNCTION("SUM(FILTER(TeamARecordSet, INDEX(TeamARecordSet, 0, 1) = A900)) + SUM(FILTER(TeamBRecordSet, INDEX(TeamBRecordSet, 0, 1) = A900))"),0.0)</f>
        <v>0</v>
      </c>
      <c r="J900" s="2">
        <f t="shared" si="2"/>
        <v>0</v>
      </c>
      <c r="K900" s="2" t="str">
        <f t="shared" si="3"/>
        <v/>
      </c>
    </row>
    <row r="901">
      <c r="A901" s="2"/>
      <c r="B901" s="7"/>
      <c r="D901" s="5" t="str">
        <f>IF(A901 = "", "", COUNTIFS('Game Record'!G:G, A901, 'Game Record'!E:E, C901))</f>
        <v/>
      </c>
      <c r="E901" s="6" t="str">
        <f>IF(A901 = "", "", COUNTIFS('Game Record'!H:H, A901, 'Game Record'!E:E, C901))</f>
        <v/>
      </c>
      <c r="F901" s="2">
        <f t="shared" si="1"/>
        <v>0</v>
      </c>
      <c r="G901" s="1" t="str">
        <f>IF(A901 = "", "", COUNTIF('Game Record'!G:G, A901))</f>
        <v/>
      </c>
      <c r="H901" s="6" t="str">
        <f>IF(A901 = "", "", COUNTIF('Game Record'!H:H, A901))</f>
        <v/>
      </c>
      <c r="I901" s="2">
        <f>IFERROR(__xludf.DUMMYFUNCTION("SUM(FILTER(TeamARecordSet, INDEX(TeamARecordSet, 0, 1) = A901)) + SUM(FILTER(TeamBRecordSet, INDEX(TeamBRecordSet, 0, 1) = A901))"),0.0)</f>
        <v>0</v>
      </c>
      <c r="J901" s="2">
        <f t="shared" si="2"/>
        <v>0</v>
      </c>
      <c r="K901" s="2" t="str">
        <f t="shared" si="3"/>
        <v/>
      </c>
    </row>
    <row r="902">
      <c r="A902" s="2"/>
      <c r="B902" s="7"/>
      <c r="D902" s="5" t="str">
        <f>IF(A902 = "", "", COUNTIFS('Game Record'!G:G, A902, 'Game Record'!E:E, C902))</f>
        <v/>
      </c>
      <c r="E902" s="6" t="str">
        <f>IF(A902 = "", "", COUNTIFS('Game Record'!H:H, A902, 'Game Record'!E:E, C902))</f>
        <v/>
      </c>
      <c r="F902" s="2">
        <f t="shared" si="1"/>
        <v>0</v>
      </c>
      <c r="G902" s="1" t="str">
        <f>IF(A902 = "", "", COUNTIF('Game Record'!G:G, A902))</f>
        <v/>
      </c>
      <c r="H902" s="6" t="str">
        <f>IF(A902 = "", "", COUNTIF('Game Record'!H:H, A902))</f>
        <v/>
      </c>
      <c r="I902" s="2">
        <f>IFERROR(__xludf.DUMMYFUNCTION("SUM(FILTER(TeamARecordSet, INDEX(TeamARecordSet, 0, 1) = A902)) + SUM(FILTER(TeamBRecordSet, INDEX(TeamBRecordSet, 0, 1) = A902))"),0.0)</f>
        <v>0</v>
      </c>
      <c r="J902" s="2">
        <f t="shared" si="2"/>
        <v>0</v>
      </c>
      <c r="K902" s="2" t="str">
        <f t="shared" si="3"/>
        <v/>
      </c>
    </row>
    <row r="903">
      <c r="A903" s="2"/>
      <c r="B903" s="7"/>
      <c r="D903" s="5" t="str">
        <f>IF(A903 = "", "", COUNTIFS('Game Record'!G:G, A903, 'Game Record'!E:E, C903))</f>
        <v/>
      </c>
      <c r="E903" s="6" t="str">
        <f>IF(A903 = "", "", COUNTIFS('Game Record'!H:H, A903, 'Game Record'!E:E, C903))</f>
        <v/>
      </c>
      <c r="F903" s="2">
        <f t="shared" si="1"/>
        <v>0</v>
      </c>
      <c r="G903" s="1" t="str">
        <f>IF(A903 = "", "", COUNTIF('Game Record'!G:G, A903))</f>
        <v/>
      </c>
      <c r="H903" s="6" t="str">
        <f>IF(A903 = "", "", COUNTIF('Game Record'!H:H, A903))</f>
        <v/>
      </c>
      <c r="I903" s="2">
        <f>IFERROR(__xludf.DUMMYFUNCTION("SUM(FILTER(TeamARecordSet, INDEX(TeamARecordSet, 0, 1) = A903)) + SUM(FILTER(TeamBRecordSet, INDEX(TeamBRecordSet, 0, 1) = A903))"),0.0)</f>
        <v>0</v>
      </c>
      <c r="J903" s="2">
        <f t="shared" si="2"/>
        <v>0</v>
      </c>
      <c r="K903" s="2" t="str">
        <f t="shared" si="3"/>
        <v/>
      </c>
    </row>
    <row r="904">
      <c r="A904" s="2"/>
      <c r="B904" s="7"/>
      <c r="D904" s="5" t="str">
        <f>IF(A904 = "", "", COUNTIFS('Game Record'!G:G, A904, 'Game Record'!E:E, C904))</f>
        <v/>
      </c>
      <c r="E904" s="6" t="str">
        <f>IF(A904 = "", "", COUNTIFS('Game Record'!H:H, A904, 'Game Record'!E:E, C904))</f>
        <v/>
      </c>
      <c r="F904" s="2">
        <f t="shared" si="1"/>
        <v>0</v>
      </c>
      <c r="G904" s="1" t="str">
        <f>IF(A904 = "", "", COUNTIF('Game Record'!G:G, A904))</f>
        <v/>
      </c>
      <c r="H904" s="6" t="str">
        <f>IF(A904 = "", "", COUNTIF('Game Record'!H:H, A904))</f>
        <v/>
      </c>
      <c r="I904" s="2">
        <f>IFERROR(__xludf.DUMMYFUNCTION("SUM(FILTER(TeamARecordSet, INDEX(TeamARecordSet, 0, 1) = A904)) + SUM(FILTER(TeamBRecordSet, INDEX(TeamBRecordSet, 0, 1) = A904))"),0.0)</f>
        <v>0</v>
      </c>
      <c r="J904" s="2">
        <f t="shared" si="2"/>
        <v>0</v>
      </c>
      <c r="K904" s="2" t="str">
        <f t="shared" si="3"/>
        <v/>
      </c>
    </row>
    <row r="905">
      <c r="A905" s="2"/>
      <c r="B905" s="7"/>
      <c r="D905" s="5" t="str">
        <f>IF(A905 = "", "", COUNTIFS('Game Record'!G:G, A905, 'Game Record'!E:E, C905))</f>
        <v/>
      </c>
      <c r="E905" s="6" t="str">
        <f>IF(A905 = "", "", COUNTIFS('Game Record'!H:H, A905, 'Game Record'!E:E, C905))</f>
        <v/>
      </c>
      <c r="F905" s="2">
        <f t="shared" si="1"/>
        <v>0</v>
      </c>
      <c r="G905" s="1" t="str">
        <f>IF(A905 = "", "", COUNTIF('Game Record'!G:G, A905))</f>
        <v/>
      </c>
      <c r="H905" s="6" t="str">
        <f>IF(A905 = "", "", COUNTIF('Game Record'!H:H, A905))</f>
        <v/>
      </c>
      <c r="I905" s="2">
        <f>IFERROR(__xludf.DUMMYFUNCTION("SUM(FILTER(TeamARecordSet, INDEX(TeamARecordSet, 0, 1) = A905)) + SUM(FILTER(TeamBRecordSet, INDEX(TeamBRecordSet, 0, 1) = A905))"),0.0)</f>
        <v>0</v>
      </c>
      <c r="J905" s="2">
        <f t="shared" si="2"/>
        <v>0</v>
      </c>
      <c r="K905" s="2" t="str">
        <f t="shared" si="3"/>
        <v/>
      </c>
    </row>
    <row r="906">
      <c r="A906" s="2"/>
      <c r="B906" s="7"/>
      <c r="D906" s="5" t="str">
        <f>IF(A906 = "", "", COUNTIFS('Game Record'!G:G, A906, 'Game Record'!E:E, C906))</f>
        <v/>
      </c>
      <c r="E906" s="6" t="str">
        <f>IF(A906 = "", "", COUNTIFS('Game Record'!H:H, A906, 'Game Record'!E:E, C906))</f>
        <v/>
      </c>
      <c r="F906" s="2">
        <f t="shared" si="1"/>
        <v>0</v>
      </c>
      <c r="G906" s="1" t="str">
        <f>IF(A906 = "", "", COUNTIF('Game Record'!G:G, A906))</f>
        <v/>
      </c>
      <c r="H906" s="6" t="str">
        <f>IF(A906 = "", "", COUNTIF('Game Record'!H:H, A906))</f>
        <v/>
      </c>
      <c r="I906" s="2">
        <f>IFERROR(__xludf.DUMMYFUNCTION("SUM(FILTER(TeamARecordSet, INDEX(TeamARecordSet, 0, 1) = A906)) + SUM(FILTER(TeamBRecordSet, INDEX(TeamBRecordSet, 0, 1) = A906))"),0.0)</f>
        <v>0</v>
      </c>
      <c r="J906" s="2">
        <f t="shared" si="2"/>
        <v>0</v>
      </c>
      <c r="K906" s="2" t="str">
        <f t="shared" si="3"/>
        <v/>
      </c>
    </row>
    <row r="907">
      <c r="A907" s="2"/>
      <c r="B907" s="7"/>
      <c r="D907" s="5" t="str">
        <f>IF(A907 = "", "", COUNTIFS('Game Record'!G:G, A907, 'Game Record'!E:E, C907))</f>
        <v/>
      </c>
      <c r="E907" s="6" t="str">
        <f>IF(A907 = "", "", COUNTIFS('Game Record'!H:H, A907, 'Game Record'!E:E, C907))</f>
        <v/>
      </c>
      <c r="F907" s="2">
        <f t="shared" si="1"/>
        <v>0</v>
      </c>
      <c r="G907" s="1" t="str">
        <f>IF(A907 = "", "", COUNTIF('Game Record'!G:G, A907))</f>
        <v/>
      </c>
      <c r="H907" s="6" t="str">
        <f>IF(A907 = "", "", COUNTIF('Game Record'!H:H, A907))</f>
        <v/>
      </c>
      <c r="I907" s="2">
        <f>IFERROR(__xludf.DUMMYFUNCTION("SUM(FILTER(TeamARecordSet, INDEX(TeamARecordSet, 0, 1) = A907)) + SUM(FILTER(TeamBRecordSet, INDEX(TeamBRecordSet, 0, 1) = A907))"),0.0)</f>
        <v>0</v>
      </c>
      <c r="J907" s="2">
        <f t="shared" si="2"/>
        <v>0</v>
      </c>
      <c r="K907" s="2" t="str">
        <f t="shared" si="3"/>
        <v/>
      </c>
    </row>
    <row r="908">
      <c r="A908" s="2"/>
      <c r="B908" s="7"/>
      <c r="D908" s="5" t="str">
        <f>IF(A908 = "", "", COUNTIFS('Game Record'!G:G, A908, 'Game Record'!E:E, C908))</f>
        <v/>
      </c>
      <c r="E908" s="6" t="str">
        <f>IF(A908 = "", "", COUNTIFS('Game Record'!H:H, A908, 'Game Record'!E:E, C908))</f>
        <v/>
      </c>
      <c r="F908" s="2">
        <f t="shared" si="1"/>
        <v>0</v>
      </c>
      <c r="G908" s="1" t="str">
        <f>IF(A908 = "", "", COUNTIF('Game Record'!G:G, A908))</f>
        <v/>
      </c>
      <c r="H908" s="6" t="str">
        <f>IF(A908 = "", "", COUNTIF('Game Record'!H:H, A908))</f>
        <v/>
      </c>
      <c r="I908" s="2">
        <f>IFERROR(__xludf.DUMMYFUNCTION("SUM(FILTER(TeamARecordSet, INDEX(TeamARecordSet, 0, 1) = A908)) + SUM(FILTER(TeamBRecordSet, INDEX(TeamBRecordSet, 0, 1) = A908))"),0.0)</f>
        <v>0</v>
      </c>
      <c r="J908" s="2">
        <f t="shared" si="2"/>
        <v>0</v>
      </c>
      <c r="K908" s="2" t="str">
        <f t="shared" si="3"/>
        <v/>
      </c>
    </row>
    <row r="909">
      <c r="A909" s="2"/>
      <c r="B909" s="7"/>
      <c r="D909" s="5" t="str">
        <f>IF(A909 = "", "", COUNTIFS('Game Record'!G:G, A909, 'Game Record'!E:E, C909))</f>
        <v/>
      </c>
      <c r="E909" s="6" t="str">
        <f>IF(A909 = "", "", COUNTIFS('Game Record'!H:H, A909, 'Game Record'!E:E, C909))</f>
        <v/>
      </c>
      <c r="F909" s="2">
        <f t="shared" si="1"/>
        <v>0</v>
      </c>
      <c r="G909" s="1" t="str">
        <f>IF(A909 = "", "", COUNTIF('Game Record'!G:G, A909))</f>
        <v/>
      </c>
      <c r="H909" s="6" t="str">
        <f>IF(A909 = "", "", COUNTIF('Game Record'!H:H, A909))</f>
        <v/>
      </c>
      <c r="I909" s="2">
        <f>IFERROR(__xludf.DUMMYFUNCTION("SUM(FILTER(TeamARecordSet, INDEX(TeamARecordSet, 0, 1) = A909)) + SUM(FILTER(TeamBRecordSet, INDEX(TeamBRecordSet, 0, 1) = A909))"),0.0)</f>
        <v>0</v>
      </c>
      <c r="J909" s="2">
        <f t="shared" si="2"/>
        <v>0</v>
      </c>
      <c r="K909" s="2" t="str">
        <f t="shared" si="3"/>
        <v/>
      </c>
    </row>
    <row r="910">
      <c r="A910" s="2"/>
      <c r="B910" s="7"/>
      <c r="D910" s="5" t="str">
        <f>IF(A910 = "", "", COUNTIFS('Game Record'!G:G, A910, 'Game Record'!E:E, C910))</f>
        <v/>
      </c>
      <c r="E910" s="6" t="str">
        <f>IF(A910 = "", "", COUNTIFS('Game Record'!H:H, A910, 'Game Record'!E:E, C910))</f>
        <v/>
      </c>
      <c r="F910" s="2">
        <f t="shared" si="1"/>
        <v>0</v>
      </c>
      <c r="G910" s="1" t="str">
        <f>IF(A910 = "", "", COUNTIF('Game Record'!G:G, A910))</f>
        <v/>
      </c>
      <c r="H910" s="6" t="str">
        <f>IF(A910 = "", "", COUNTIF('Game Record'!H:H, A910))</f>
        <v/>
      </c>
      <c r="I910" s="2">
        <f>IFERROR(__xludf.DUMMYFUNCTION("SUM(FILTER(TeamARecordSet, INDEX(TeamARecordSet, 0, 1) = A910)) + SUM(FILTER(TeamBRecordSet, INDEX(TeamBRecordSet, 0, 1) = A910))"),0.0)</f>
        <v>0</v>
      </c>
      <c r="J910" s="2">
        <f t="shared" si="2"/>
        <v>0</v>
      </c>
      <c r="K910" s="2" t="str">
        <f t="shared" si="3"/>
        <v/>
      </c>
    </row>
    <row r="911">
      <c r="A911" s="2"/>
      <c r="B911" s="7"/>
      <c r="D911" s="5" t="str">
        <f>IF(A911 = "", "", COUNTIFS('Game Record'!G:G, A911, 'Game Record'!E:E, C911))</f>
        <v/>
      </c>
      <c r="E911" s="6" t="str">
        <f>IF(A911 = "", "", COUNTIFS('Game Record'!H:H, A911, 'Game Record'!E:E, C911))</f>
        <v/>
      </c>
      <c r="F911" s="2">
        <f t="shared" si="1"/>
        <v>0</v>
      </c>
      <c r="G911" s="1" t="str">
        <f>IF(A911 = "", "", COUNTIF('Game Record'!G:G, A911))</f>
        <v/>
      </c>
      <c r="H911" s="6" t="str">
        <f>IF(A911 = "", "", COUNTIF('Game Record'!H:H, A911))</f>
        <v/>
      </c>
      <c r="I911" s="2">
        <f>IFERROR(__xludf.DUMMYFUNCTION("SUM(FILTER(TeamARecordSet, INDEX(TeamARecordSet, 0, 1) = A911)) + SUM(FILTER(TeamBRecordSet, INDEX(TeamBRecordSet, 0, 1) = A911))"),0.0)</f>
        <v>0</v>
      </c>
      <c r="J911" s="2">
        <f t="shared" si="2"/>
        <v>0</v>
      </c>
      <c r="K911" s="2" t="str">
        <f t="shared" si="3"/>
        <v/>
      </c>
    </row>
    <row r="912">
      <c r="A912" s="2"/>
      <c r="B912" s="7"/>
      <c r="D912" s="5" t="str">
        <f>IF(A912 = "", "", COUNTIFS('Game Record'!G:G, A912, 'Game Record'!E:E, C912))</f>
        <v/>
      </c>
      <c r="E912" s="6" t="str">
        <f>IF(A912 = "", "", COUNTIFS('Game Record'!H:H, A912, 'Game Record'!E:E, C912))</f>
        <v/>
      </c>
      <c r="F912" s="2">
        <f t="shared" si="1"/>
        <v>0</v>
      </c>
      <c r="G912" s="1" t="str">
        <f>IF(A912 = "", "", COUNTIF('Game Record'!G:G, A912))</f>
        <v/>
      </c>
      <c r="H912" s="6" t="str">
        <f>IF(A912 = "", "", COUNTIF('Game Record'!H:H, A912))</f>
        <v/>
      </c>
      <c r="I912" s="2">
        <f>IFERROR(__xludf.DUMMYFUNCTION("SUM(FILTER(TeamARecordSet, INDEX(TeamARecordSet, 0, 1) = A912)) + SUM(FILTER(TeamBRecordSet, INDEX(TeamBRecordSet, 0, 1) = A912))"),0.0)</f>
        <v>0</v>
      </c>
      <c r="J912" s="2">
        <f t="shared" si="2"/>
        <v>0</v>
      </c>
      <c r="K912" s="2" t="str">
        <f t="shared" si="3"/>
        <v/>
      </c>
    </row>
    <row r="913">
      <c r="A913" s="2"/>
      <c r="B913" s="7"/>
      <c r="D913" s="5" t="str">
        <f>IF(A913 = "", "", COUNTIFS('Game Record'!G:G, A913, 'Game Record'!E:E, C913))</f>
        <v/>
      </c>
      <c r="E913" s="6" t="str">
        <f>IF(A913 = "", "", COUNTIFS('Game Record'!H:H, A913, 'Game Record'!E:E, C913))</f>
        <v/>
      </c>
      <c r="F913" s="2">
        <f t="shared" si="1"/>
        <v>0</v>
      </c>
      <c r="G913" s="1" t="str">
        <f>IF(A913 = "", "", COUNTIF('Game Record'!G:G, A913))</f>
        <v/>
      </c>
      <c r="H913" s="6" t="str">
        <f>IF(A913 = "", "", COUNTIF('Game Record'!H:H, A913))</f>
        <v/>
      </c>
      <c r="I913" s="2">
        <f>IFERROR(__xludf.DUMMYFUNCTION("SUM(FILTER(TeamARecordSet, INDEX(TeamARecordSet, 0, 1) = A913)) + SUM(FILTER(TeamBRecordSet, INDEX(TeamBRecordSet, 0, 1) = A913))"),0.0)</f>
        <v>0</v>
      </c>
      <c r="J913" s="2">
        <f t="shared" si="2"/>
        <v>0</v>
      </c>
      <c r="K913" s="2" t="str">
        <f t="shared" si="3"/>
        <v/>
      </c>
    </row>
    <row r="914">
      <c r="A914" s="2"/>
      <c r="B914" s="7"/>
      <c r="D914" s="5" t="str">
        <f>IF(A914 = "", "", COUNTIFS('Game Record'!G:G, A914, 'Game Record'!E:E, C914))</f>
        <v/>
      </c>
      <c r="E914" s="6" t="str">
        <f>IF(A914 = "", "", COUNTIFS('Game Record'!H:H, A914, 'Game Record'!E:E, C914))</f>
        <v/>
      </c>
      <c r="F914" s="2">
        <f t="shared" si="1"/>
        <v>0</v>
      </c>
      <c r="G914" s="1" t="str">
        <f>IF(A914 = "", "", COUNTIF('Game Record'!G:G, A914))</f>
        <v/>
      </c>
      <c r="H914" s="6" t="str">
        <f>IF(A914 = "", "", COUNTIF('Game Record'!H:H, A914))</f>
        <v/>
      </c>
      <c r="I914" s="2">
        <f>IFERROR(__xludf.DUMMYFUNCTION("SUM(FILTER(TeamARecordSet, INDEX(TeamARecordSet, 0, 1) = A914)) + SUM(FILTER(TeamBRecordSet, INDEX(TeamBRecordSet, 0, 1) = A914))"),0.0)</f>
        <v>0</v>
      </c>
      <c r="J914" s="2">
        <f t="shared" si="2"/>
        <v>0</v>
      </c>
      <c r="K914" s="2" t="str">
        <f t="shared" si="3"/>
        <v/>
      </c>
    </row>
    <row r="915">
      <c r="A915" s="2"/>
      <c r="B915" s="7"/>
      <c r="D915" s="5" t="str">
        <f>IF(A915 = "", "", COUNTIFS('Game Record'!G:G, A915, 'Game Record'!E:E, C915))</f>
        <v/>
      </c>
      <c r="E915" s="6" t="str">
        <f>IF(A915 = "", "", COUNTIFS('Game Record'!H:H, A915, 'Game Record'!E:E, C915))</f>
        <v/>
      </c>
      <c r="F915" s="2">
        <f t="shared" si="1"/>
        <v>0</v>
      </c>
      <c r="G915" s="1" t="str">
        <f>IF(A915 = "", "", COUNTIF('Game Record'!G:G, A915))</f>
        <v/>
      </c>
      <c r="H915" s="6" t="str">
        <f>IF(A915 = "", "", COUNTIF('Game Record'!H:H, A915))</f>
        <v/>
      </c>
      <c r="I915" s="2">
        <f>IFERROR(__xludf.DUMMYFUNCTION("SUM(FILTER(TeamARecordSet, INDEX(TeamARecordSet, 0, 1) = A915)) + SUM(FILTER(TeamBRecordSet, INDEX(TeamBRecordSet, 0, 1) = A915))"),0.0)</f>
        <v>0</v>
      </c>
      <c r="J915" s="2">
        <f t="shared" si="2"/>
        <v>0</v>
      </c>
      <c r="K915" s="2" t="str">
        <f t="shared" si="3"/>
        <v/>
      </c>
    </row>
    <row r="916">
      <c r="A916" s="2"/>
      <c r="B916" s="7"/>
      <c r="D916" s="5" t="str">
        <f>IF(A916 = "", "", COUNTIFS('Game Record'!G:G, A916, 'Game Record'!E:E, C916))</f>
        <v/>
      </c>
      <c r="E916" s="6" t="str">
        <f>IF(A916 = "", "", COUNTIFS('Game Record'!H:H, A916, 'Game Record'!E:E, C916))</f>
        <v/>
      </c>
      <c r="F916" s="2">
        <f t="shared" si="1"/>
        <v>0</v>
      </c>
      <c r="G916" s="1" t="str">
        <f>IF(A916 = "", "", COUNTIF('Game Record'!G:G, A916))</f>
        <v/>
      </c>
      <c r="H916" s="6" t="str">
        <f>IF(A916 = "", "", COUNTIF('Game Record'!H:H, A916))</f>
        <v/>
      </c>
      <c r="I916" s="2">
        <f>IFERROR(__xludf.DUMMYFUNCTION("SUM(FILTER(TeamARecordSet, INDEX(TeamARecordSet, 0, 1) = A916)) + SUM(FILTER(TeamBRecordSet, INDEX(TeamBRecordSet, 0, 1) = A916))"),0.0)</f>
        <v>0</v>
      </c>
      <c r="J916" s="2">
        <f t="shared" si="2"/>
        <v>0</v>
      </c>
      <c r="K916" s="2" t="str">
        <f t="shared" si="3"/>
        <v/>
      </c>
    </row>
    <row r="917">
      <c r="A917" s="2"/>
      <c r="B917" s="7"/>
      <c r="D917" s="5" t="str">
        <f>IF(A917 = "", "", COUNTIFS('Game Record'!G:G, A917, 'Game Record'!E:E, C917))</f>
        <v/>
      </c>
      <c r="E917" s="6" t="str">
        <f>IF(A917 = "", "", COUNTIFS('Game Record'!H:H, A917, 'Game Record'!E:E, C917))</f>
        <v/>
      </c>
      <c r="F917" s="2">
        <f t="shared" si="1"/>
        <v>0</v>
      </c>
      <c r="G917" s="1" t="str">
        <f>IF(A917 = "", "", COUNTIF('Game Record'!G:G, A917))</f>
        <v/>
      </c>
      <c r="H917" s="6" t="str">
        <f>IF(A917 = "", "", COUNTIF('Game Record'!H:H, A917))</f>
        <v/>
      </c>
      <c r="I917" s="2">
        <f>IFERROR(__xludf.DUMMYFUNCTION("SUM(FILTER(TeamARecordSet, INDEX(TeamARecordSet, 0, 1) = A917)) + SUM(FILTER(TeamBRecordSet, INDEX(TeamBRecordSet, 0, 1) = A917))"),0.0)</f>
        <v>0</v>
      </c>
      <c r="J917" s="2">
        <f t="shared" si="2"/>
        <v>0</v>
      </c>
      <c r="K917" s="2" t="str">
        <f t="shared" si="3"/>
        <v/>
      </c>
    </row>
    <row r="918">
      <c r="A918" s="2"/>
      <c r="B918" s="7"/>
      <c r="D918" s="5" t="str">
        <f>IF(A918 = "", "", COUNTIFS('Game Record'!G:G, A918, 'Game Record'!E:E, C918))</f>
        <v/>
      </c>
      <c r="E918" s="6" t="str">
        <f>IF(A918 = "", "", COUNTIFS('Game Record'!H:H, A918, 'Game Record'!E:E, C918))</f>
        <v/>
      </c>
      <c r="F918" s="2">
        <f t="shared" si="1"/>
        <v>0</v>
      </c>
      <c r="G918" s="1" t="str">
        <f>IF(A918 = "", "", COUNTIF('Game Record'!G:G, A918))</f>
        <v/>
      </c>
      <c r="H918" s="6" t="str">
        <f>IF(A918 = "", "", COUNTIF('Game Record'!H:H, A918))</f>
        <v/>
      </c>
      <c r="I918" s="2">
        <f>IFERROR(__xludf.DUMMYFUNCTION("SUM(FILTER(TeamARecordSet, INDEX(TeamARecordSet, 0, 1) = A918)) + SUM(FILTER(TeamBRecordSet, INDEX(TeamBRecordSet, 0, 1) = A918))"),0.0)</f>
        <v>0</v>
      </c>
      <c r="J918" s="2">
        <f t="shared" si="2"/>
        <v>0</v>
      </c>
      <c r="K918" s="2" t="str">
        <f t="shared" si="3"/>
        <v/>
      </c>
    </row>
    <row r="919">
      <c r="A919" s="2"/>
      <c r="B919" s="7"/>
      <c r="D919" s="5" t="str">
        <f>IF(A919 = "", "", COUNTIFS('Game Record'!G:G, A919, 'Game Record'!E:E, C919))</f>
        <v/>
      </c>
      <c r="E919" s="6" t="str">
        <f>IF(A919 = "", "", COUNTIFS('Game Record'!H:H, A919, 'Game Record'!E:E, C919))</f>
        <v/>
      </c>
      <c r="F919" s="2">
        <f t="shared" si="1"/>
        <v>0</v>
      </c>
      <c r="G919" s="1" t="str">
        <f>IF(A919 = "", "", COUNTIF('Game Record'!G:G, A919))</f>
        <v/>
      </c>
      <c r="H919" s="6" t="str">
        <f>IF(A919 = "", "", COUNTIF('Game Record'!H:H, A919))</f>
        <v/>
      </c>
      <c r="I919" s="2">
        <f>IFERROR(__xludf.DUMMYFUNCTION("SUM(FILTER(TeamARecordSet, INDEX(TeamARecordSet, 0, 1) = A919)) + SUM(FILTER(TeamBRecordSet, INDEX(TeamBRecordSet, 0, 1) = A919))"),0.0)</f>
        <v>0</v>
      </c>
      <c r="J919" s="2">
        <f t="shared" si="2"/>
        <v>0</v>
      </c>
      <c r="K919" s="2" t="str">
        <f t="shared" si="3"/>
        <v/>
      </c>
    </row>
    <row r="920">
      <c r="A920" s="2"/>
      <c r="B920" s="7"/>
      <c r="D920" s="5" t="str">
        <f>IF(A920 = "", "", COUNTIFS('Game Record'!G:G, A920, 'Game Record'!E:E, C920))</f>
        <v/>
      </c>
      <c r="E920" s="6" t="str">
        <f>IF(A920 = "", "", COUNTIFS('Game Record'!H:H, A920, 'Game Record'!E:E, C920))</f>
        <v/>
      </c>
      <c r="F920" s="2">
        <f t="shared" si="1"/>
        <v>0</v>
      </c>
      <c r="G920" s="1" t="str">
        <f>IF(A920 = "", "", COUNTIF('Game Record'!G:G, A920))</f>
        <v/>
      </c>
      <c r="H920" s="6" t="str">
        <f>IF(A920 = "", "", COUNTIF('Game Record'!H:H, A920))</f>
        <v/>
      </c>
      <c r="I920" s="2">
        <f>IFERROR(__xludf.DUMMYFUNCTION("SUM(FILTER(TeamARecordSet, INDEX(TeamARecordSet, 0, 1) = A920)) + SUM(FILTER(TeamBRecordSet, INDEX(TeamBRecordSet, 0, 1) = A920))"),0.0)</f>
        <v>0</v>
      </c>
      <c r="J920" s="2">
        <f t="shared" si="2"/>
        <v>0</v>
      </c>
      <c r="K920" s="2" t="str">
        <f t="shared" si="3"/>
        <v/>
      </c>
    </row>
    <row r="921">
      <c r="A921" s="2"/>
      <c r="B921" s="7"/>
      <c r="D921" s="5" t="str">
        <f>IF(A921 = "", "", COUNTIFS('Game Record'!G:G, A921, 'Game Record'!E:E, C921))</f>
        <v/>
      </c>
      <c r="E921" s="6" t="str">
        <f>IF(A921 = "", "", COUNTIFS('Game Record'!H:H, A921, 'Game Record'!E:E, C921))</f>
        <v/>
      </c>
      <c r="F921" s="2">
        <f t="shared" si="1"/>
        <v>0</v>
      </c>
      <c r="G921" s="1" t="str">
        <f>IF(A921 = "", "", COUNTIF('Game Record'!G:G, A921))</f>
        <v/>
      </c>
      <c r="H921" s="6" t="str">
        <f>IF(A921 = "", "", COUNTIF('Game Record'!H:H, A921))</f>
        <v/>
      </c>
      <c r="I921" s="2">
        <f>IFERROR(__xludf.DUMMYFUNCTION("SUM(FILTER(TeamARecordSet, INDEX(TeamARecordSet, 0, 1) = A921)) + SUM(FILTER(TeamBRecordSet, INDEX(TeamBRecordSet, 0, 1) = A921))"),0.0)</f>
        <v>0</v>
      </c>
      <c r="J921" s="2">
        <f t="shared" si="2"/>
        <v>0</v>
      </c>
      <c r="K921" s="2" t="str">
        <f t="shared" si="3"/>
        <v/>
      </c>
    </row>
    <row r="922">
      <c r="A922" s="2"/>
      <c r="B922" s="7"/>
      <c r="D922" s="5" t="str">
        <f>IF(A922 = "", "", COUNTIFS('Game Record'!G:G, A922, 'Game Record'!E:E, C922))</f>
        <v/>
      </c>
      <c r="E922" s="6" t="str">
        <f>IF(A922 = "", "", COUNTIFS('Game Record'!H:H, A922, 'Game Record'!E:E, C922))</f>
        <v/>
      </c>
      <c r="F922" s="2">
        <f t="shared" si="1"/>
        <v>0</v>
      </c>
      <c r="G922" s="1" t="str">
        <f>IF(A922 = "", "", COUNTIF('Game Record'!G:G, A922))</f>
        <v/>
      </c>
      <c r="H922" s="6" t="str">
        <f>IF(A922 = "", "", COUNTIF('Game Record'!H:H, A922))</f>
        <v/>
      </c>
      <c r="I922" s="2">
        <f>IFERROR(__xludf.DUMMYFUNCTION("SUM(FILTER(TeamARecordSet, INDEX(TeamARecordSet, 0, 1) = A922)) + SUM(FILTER(TeamBRecordSet, INDEX(TeamBRecordSet, 0, 1) = A922))"),0.0)</f>
        <v>0</v>
      </c>
      <c r="J922" s="2">
        <f t="shared" si="2"/>
        <v>0</v>
      </c>
      <c r="K922" s="2" t="str">
        <f t="shared" si="3"/>
        <v/>
      </c>
    </row>
    <row r="923">
      <c r="A923" s="2"/>
      <c r="B923" s="7"/>
      <c r="D923" s="5" t="str">
        <f>IF(A923 = "", "", COUNTIFS('Game Record'!G:G, A923, 'Game Record'!E:E, C923))</f>
        <v/>
      </c>
      <c r="E923" s="6" t="str">
        <f>IF(A923 = "", "", COUNTIFS('Game Record'!H:H, A923, 'Game Record'!E:E, C923))</f>
        <v/>
      </c>
      <c r="F923" s="2">
        <f t="shared" si="1"/>
        <v>0</v>
      </c>
      <c r="G923" s="1" t="str">
        <f>IF(A923 = "", "", COUNTIF('Game Record'!G:G, A923))</f>
        <v/>
      </c>
      <c r="H923" s="6" t="str">
        <f>IF(A923 = "", "", COUNTIF('Game Record'!H:H, A923))</f>
        <v/>
      </c>
      <c r="I923" s="2">
        <f>IFERROR(__xludf.DUMMYFUNCTION("SUM(FILTER(TeamARecordSet, INDEX(TeamARecordSet, 0, 1) = A923)) + SUM(FILTER(TeamBRecordSet, INDEX(TeamBRecordSet, 0, 1) = A923))"),0.0)</f>
        <v>0</v>
      </c>
      <c r="J923" s="2">
        <f t="shared" si="2"/>
        <v>0</v>
      </c>
      <c r="K923" s="2" t="str">
        <f t="shared" si="3"/>
        <v/>
      </c>
    </row>
    <row r="924">
      <c r="A924" s="2"/>
      <c r="B924" s="7"/>
      <c r="D924" s="5" t="str">
        <f>IF(A924 = "", "", COUNTIFS('Game Record'!G:G, A924, 'Game Record'!E:E, C924))</f>
        <v/>
      </c>
      <c r="E924" s="6" t="str">
        <f>IF(A924 = "", "", COUNTIFS('Game Record'!H:H, A924, 'Game Record'!E:E, C924))</f>
        <v/>
      </c>
      <c r="F924" s="2">
        <f t="shared" si="1"/>
        <v>0</v>
      </c>
      <c r="G924" s="1" t="str">
        <f>IF(A924 = "", "", COUNTIF('Game Record'!G:G, A924))</f>
        <v/>
      </c>
      <c r="H924" s="6" t="str">
        <f>IF(A924 = "", "", COUNTIF('Game Record'!H:H, A924))</f>
        <v/>
      </c>
      <c r="I924" s="2">
        <f>IFERROR(__xludf.DUMMYFUNCTION("SUM(FILTER(TeamARecordSet, INDEX(TeamARecordSet, 0, 1) = A924)) + SUM(FILTER(TeamBRecordSet, INDEX(TeamBRecordSet, 0, 1) = A924))"),0.0)</f>
        <v>0</v>
      </c>
      <c r="J924" s="2">
        <f t="shared" si="2"/>
        <v>0</v>
      </c>
      <c r="K924" s="2" t="str">
        <f t="shared" si="3"/>
        <v/>
      </c>
    </row>
    <row r="925">
      <c r="A925" s="2"/>
      <c r="B925" s="7"/>
      <c r="D925" s="5" t="str">
        <f>IF(A925 = "", "", COUNTIFS('Game Record'!G:G, A925, 'Game Record'!E:E, C925))</f>
        <v/>
      </c>
      <c r="E925" s="6" t="str">
        <f>IF(A925 = "", "", COUNTIFS('Game Record'!H:H, A925, 'Game Record'!E:E, C925))</f>
        <v/>
      </c>
      <c r="F925" s="2">
        <f t="shared" si="1"/>
        <v>0</v>
      </c>
      <c r="G925" s="1" t="str">
        <f>IF(A925 = "", "", COUNTIF('Game Record'!G:G, A925))</f>
        <v/>
      </c>
      <c r="H925" s="6" t="str">
        <f>IF(A925 = "", "", COUNTIF('Game Record'!H:H, A925))</f>
        <v/>
      </c>
      <c r="I925" s="2">
        <f>IFERROR(__xludf.DUMMYFUNCTION("SUM(FILTER(TeamARecordSet, INDEX(TeamARecordSet, 0, 1) = A925)) + SUM(FILTER(TeamBRecordSet, INDEX(TeamBRecordSet, 0, 1) = A925))"),0.0)</f>
        <v>0</v>
      </c>
      <c r="J925" s="2">
        <f t="shared" si="2"/>
        <v>0</v>
      </c>
      <c r="K925" s="2" t="str">
        <f t="shared" si="3"/>
        <v/>
      </c>
    </row>
    <row r="926">
      <c r="A926" s="2"/>
      <c r="B926" s="7"/>
      <c r="D926" s="5" t="str">
        <f>IF(A926 = "", "", COUNTIFS('Game Record'!G:G, A926, 'Game Record'!E:E, C926))</f>
        <v/>
      </c>
      <c r="E926" s="6" t="str">
        <f>IF(A926 = "", "", COUNTIFS('Game Record'!H:H, A926, 'Game Record'!E:E, C926))</f>
        <v/>
      </c>
      <c r="F926" s="2">
        <f t="shared" si="1"/>
        <v>0</v>
      </c>
      <c r="G926" s="1" t="str">
        <f>IF(A926 = "", "", COUNTIF('Game Record'!G:G, A926))</f>
        <v/>
      </c>
      <c r="H926" s="6" t="str">
        <f>IF(A926 = "", "", COUNTIF('Game Record'!H:H, A926))</f>
        <v/>
      </c>
      <c r="I926" s="2">
        <f>IFERROR(__xludf.DUMMYFUNCTION("SUM(FILTER(TeamARecordSet, INDEX(TeamARecordSet, 0, 1) = A926)) + SUM(FILTER(TeamBRecordSet, INDEX(TeamBRecordSet, 0, 1) = A926))"),0.0)</f>
        <v>0</v>
      </c>
      <c r="J926" s="2">
        <f t="shared" si="2"/>
        <v>0</v>
      </c>
      <c r="K926" s="2" t="str">
        <f t="shared" si="3"/>
        <v/>
      </c>
    </row>
    <row r="927">
      <c r="A927" s="2"/>
      <c r="B927" s="7"/>
      <c r="D927" s="5" t="str">
        <f>IF(A927 = "", "", COUNTIFS('Game Record'!G:G, A927, 'Game Record'!E:E, C927))</f>
        <v/>
      </c>
      <c r="E927" s="6" t="str">
        <f>IF(A927 = "", "", COUNTIFS('Game Record'!H:H, A927, 'Game Record'!E:E, C927))</f>
        <v/>
      </c>
      <c r="F927" s="2">
        <f t="shared" si="1"/>
        <v>0</v>
      </c>
      <c r="G927" s="1" t="str">
        <f>IF(A927 = "", "", COUNTIF('Game Record'!G:G, A927))</f>
        <v/>
      </c>
      <c r="H927" s="6" t="str">
        <f>IF(A927 = "", "", COUNTIF('Game Record'!H:H, A927))</f>
        <v/>
      </c>
      <c r="I927" s="2">
        <f>IFERROR(__xludf.DUMMYFUNCTION("SUM(FILTER(TeamARecordSet, INDEX(TeamARecordSet, 0, 1) = A927)) + SUM(FILTER(TeamBRecordSet, INDEX(TeamBRecordSet, 0, 1) = A927))"),0.0)</f>
        <v>0</v>
      </c>
      <c r="J927" s="2">
        <f t="shared" si="2"/>
        <v>0</v>
      </c>
      <c r="K927" s="2" t="str">
        <f t="shared" si="3"/>
        <v/>
      </c>
    </row>
    <row r="928">
      <c r="A928" s="2"/>
      <c r="B928" s="7"/>
      <c r="D928" s="5" t="str">
        <f>IF(A928 = "", "", COUNTIFS('Game Record'!G:G, A928, 'Game Record'!E:E, C928))</f>
        <v/>
      </c>
      <c r="E928" s="6" t="str">
        <f>IF(A928 = "", "", COUNTIFS('Game Record'!H:H, A928, 'Game Record'!E:E, C928))</f>
        <v/>
      </c>
      <c r="F928" s="2">
        <f t="shared" si="1"/>
        <v>0</v>
      </c>
      <c r="G928" s="1" t="str">
        <f>IF(A928 = "", "", COUNTIF('Game Record'!G:G, A928))</f>
        <v/>
      </c>
      <c r="H928" s="6" t="str">
        <f>IF(A928 = "", "", COUNTIF('Game Record'!H:H, A928))</f>
        <v/>
      </c>
      <c r="I928" s="2">
        <f>IFERROR(__xludf.DUMMYFUNCTION("SUM(FILTER(TeamARecordSet, INDEX(TeamARecordSet, 0, 1) = A928)) + SUM(FILTER(TeamBRecordSet, INDEX(TeamBRecordSet, 0, 1) = A928))"),0.0)</f>
        <v>0</v>
      </c>
      <c r="J928" s="2">
        <f t="shared" si="2"/>
        <v>0</v>
      </c>
      <c r="K928" s="2" t="str">
        <f t="shared" si="3"/>
        <v/>
      </c>
    </row>
    <row r="929">
      <c r="A929" s="2"/>
      <c r="B929" s="7"/>
      <c r="D929" s="5" t="str">
        <f>IF(A929 = "", "", COUNTIFS('Game Record'!G:G, A929, 'Game Record'!E:E, C929))</f>
        <v/>
      </c>
      <c r="E929" s="6" t="str">
        <f>IF(A929 = "", "", COUNTIFS('Game Record'!H:H, A929, 'Game Record'!E:E, C929))</f>
        <v/>
      </c>
      <c r="F929" s="2">
        <f t="shared" si="1"/>
        <v>0</v>
      </c>
      <c r="G929" s="1" t="str">
        <f>IF(A929 = "", "", COUNTIF('Game Record'!G:G, A929))</f>
        <v/>
      </c>
      <c r="H929" s="6" t="str">
        <f>IF(A929 = "", "", COUNTIF('Game Record'!H:H, A929))</f>
        <v/>
      </c>
      <c r="I929" s="2">
        <f>IFERROR(__xludf.DUMMYFUNCTION("SUM(FILTER(TeamARecordSet, INDEX(TeamARecordSet, 0, 1) = A929)) + SUM(FILTER(TeamBRecordSet, INDEX(TeamBRecordSet, 0, 1) = A929))"),0.0)</f>
        <v>0</v>
      </c>
      <c r="J929" s="2">
        <f t="shared" si="2"/>
        <v>0</v>
      </c>
      <c r="K929" s="2" t="str">
        <f t="shared" si="3"/>
        <v/>
      </c>
    </row>
    <row r="930">
      <c r="A930" s="2"/>
      <c r="B930" s="7"/>
      <c r="D930" s="5" t="str">
        <f>IF(A930 = "", "", COUNTIFS('Game Record'!G:G, A930, 'Game Record'!E:E, C930))</f>
        <v/>
      </c>
      <c r="E930" s="6" t="str">
        <f>IF(A930 = "", "", COUNTIFS('Game Record'!H:H, A930, 'Game Record'!E:E, C930))</f>
        <v/>
      </c>
      <c r="F930" s="2">
        <f t="shared" si="1"/>
        <v>0</v>
      </c>
      <c r="G930" s="1" t="str">
        <f>IF(A930 = "", "", COUNTIF('Game Record'!G:G, A930))</f>
        <v/>
      </c>
      <c r="H930" s="6" t="str">
        <f>IF(A930 = "", "", COUNTIF('Game Record'!H:H, A930))</f>
        <v/>
      </c>
      <c r="I930" s="2">
        <f>IFERROR(__xludf.DUMMYFUNCTION("SUM(FILTER(TeamARecordSet, INDEX(TeamARecordSet, 0, 1) = A930)) + SUM(FILTER(TeamBRecordSet, INDEX(TeamBRecordSet, 0, 1) = A930))"),0.0)</f>
        <v>0</v>
      </c>
      <c r="J930" s="2">
        <f t="shared" si="2"/>
        <v>0</v>
      </c>
      <c r="K930" s="2" t="str">
        <f t="shared" si="3"/>
        <v/>
      </c>
    </row>
    <row r="931">
      <c r="A931" s="2"/>
      <c r="B931" s="7"/>
      <c r="D931" s="5" t="str">
        <f>IF(A931 = "", "", COUNTIFS('Game Record'!G:G, A931, 'Game Record'!E:E, C931))</f>
        <v/>
      </c>
      <c r="E931" s="6" t="str">
        <f>IF(A931 = "", "", COUNTIFS('Game Record'!H:H, A931, 'Game Record'!E:E, C931))</f>
        <v/>
      </c>
      <c r="F931" s="2">
        <f t="shared" si="1"/>
        <v>0</v>
      </c>
      <c r="G931" s="1" t="str">
        <f>IF(A931 = "", "", COUNTIF('Game Record'!G:G, A931))</f>
        <v/>
      </c>
      <c r="H931" s="6" t="str">
        <f>IF(A931 = "", "", COUNTIF('Game Record'!H:H, A931))</f>
        <v/>
      </c>
      <c r="I931" s="2">
        <f>IFERROR(__xludf.DUMMYFUNCTION("SUM(FILTER(TeamARecordSet, INDEX(TeamARecordSet, 0, 1) = A931)) + SUM(FILTER(TeamBRecordSet, INDEX(TeamBRecordSet, 0, 1) = A931))"),0.0)</f>
        <v>0</v>
      </c>
      <c r="J931" s="2">
        <f t="shared" si="2"/>
        <v>0</v>
      </c>
      <c r="K931" s="2" t="str">
        <f t="shared" si="3"/>
        <v/>
      </c>
    </row>
    <row r="932">
      <c r="A932" s="2"/>
      <c r="B932" s="7"/>
      <c r="D932" s="5" t="str">
        <f>IF(A932 = "", "", COUNTIFS('Game Record'!G:G, A932, 'Game Record'!E:E, C932))</f>
        <v/>
      </c>
      <c r="E932" s="6" t="str">
        <f>IF(A932 = "", "", COUNTIFS('Game Record'!H:H, A932, 'Game Record'!E:E, C932))</f>
        <v/>
      </c>
      <c r="F932" s="2">
        <f t="shared" si="1"/>
        <v>0</v>
      </c>
      <c r="G932" s="1" t="str">
        <f>IF(A932 = "", "", COUNTIF('Game Record'!G:G, A932))</f>
        <v/>
      </c>
      <c r="H932" s="6" t="str">
        <f>IF(A932 = "", "", COUNTIF('Game Record'!H:H, A932))</f>
        <v/>
      </c>
      <c r="I932" s="2">
        <f>IFERROR(__xludf.DUMMYFUNCTION("SUM(FILTER(TeamARecordSet, INDEX(TeamARecordSet, 0, 1) = A932)) + SUM(FILTER(TeamBRecordSet, INDEX(TeamBRecordSet, 0, 1) = A932))"),0.0)</f>
        <v>0</v>
      </c>
      <c r="J932" s="2">
        <f t="shared" si="2"/>
        <v>0</v>
      </c>
      <c r="K932" s="2" t="str">
        <f t="shared" si="3"/>
        <v/>
      </c>
    </row>
    <row r="933">
      <c r="A933" s="2"/>
      <c r="B933" s="7"/>
      <c r="D933" s="5" t="str">
        <f>IF(A933 = "", "", COUNTIFS('Game Record'!G:G, A933, 'Game Record'!E:E, C933))</f>
        <v/>
      </c>
      <c r="E933" s="6" t="str">
        <f>IF(A933 = "", "", COUNTIFS('Game Record'!H:H, A933, 'Game Record'!E:E, C933))</f>
        <v/>
      </c>
      <c r="F933" s="2">
        <f t="shared" si="1"/>
        <v>0</v>
      </c>
      <c r="G933" s="1" t="str">
        <f>IF(A933 = "", "", COUNTIF('Game Record'!G:G, A933))</f>
        <v/>
      </c>
      <c r="H933" s="6" t="str">
        <f>IF(A933 = "", "", COUNTIF('Game Record'!H:H, A933))</f>
        <v/>
      </c>
      <c r="I933" s="2">
        <f>IFERROR(__xludf.DUMMYFUNCTION("SUM(FILTER(TeamARecordSet, INDEX(TeamARecordSet, 0, 1) = A933)) + SUM(FILTER(TeamBRecordSet, INDEX(TeamBRecordSet, 0, 1) = A933))"),0.0)</f>
        <v>0</v>
      </c>
      <c r="J933" s="2">
        <f t="shared" si="2"/>
        <v>0</v>
      </c>
      <c r="K933" s="2" t="str">
        <f t="shared" si="3"/>
        <v/>
      </c>
    </row>
    <row r="934">
      <c r="A934" s="2"/>
      <c r="B934" s="7"/>
      <c r="D934" s="5" t="str">
        <f>IF(A934 = "", "", COUNTIFS('Game Record'!G:G, A934, 'Game Record'!E:E, C934))</f>
        <v/>
      </c>
      <c r="E934" s="6" t="str">
        <f>IF(A934 = "", "", COUNTIFS('Game Record'!H:H, A934, 'Game Record'!E:E, C934))</f>
        <v/>
      </c>
      <c r="F934" s="2">
        <f t="shared" si="1"/>
        <v>0</v>
      </c>
      <c r="G934" s="1" t="str">
        <f>IF(A934 = "", "", COUNTIF('Game Record'!G:G, A934))</f>
        <v/>
      </c>
      <c r="H934" s="6" t="str">
        <f>IF(A934 = "", "", COUNTIF('Game Record'!H:H, A934))</f>
        <v/>
      </c>
      <c r="I934" s="2">
        <f>IFERROR(__xludf.DUMMYFUNCTION("SUM(FILTER(TeamARecordSet, INDEX(TeamARecordSet, 0, 1) = A934)) + SUM(FILTER(TeamBRecordSet, INDEX(TeamBRecordSet, 0, 1) = A934))"),0.0)</f>
        <v>0</v>
      </c>
      <c r="J934" s="2">
        <f t="shared" si="2"/>
        <v>0</v>
      </c>
      <c r="K934" s="2" t="str">
        <f t="shared" si="3"/>
        <v/>
      </c>
    </row>
    <row r="935">
      <c r="A935" s="2"/>
      <c r="B935" s="7"/>
      <c r="D935" s="5" t="str">
        <f>IF(A935 = "", "", COUNTIFS('Game Record'!G:G, A935, 'Game Record'!E:E, C935))</f>
        <v/>
      </c>
      <c r="E935" s="6" t="str">
        <f>IF(A935 = "", "", COUNTIFS('Game Record'!H:H, A935, 'Game Record'!E:E, C935))</f>
        <v/>
      </c>
      <c r="F935" s="2">
        <f t="shared" si="1"/>
        <v>0</v>
      </c>
      <c r="G935" s="1" t="str">
        <f>IF(A935 = "", "", COUNTIF('Game Record'!G:G, A935))</f>
        <v/>
      </c>
      <c r="H935" s="6" t="str">
        <f>IF(A935 = "", "", COUNTIF('Game Record'!H:H, A935))</f>
        <v/>
      </c>
      <c r="I935" s="2">
        <f>IFERROR(__xludf.DUMMYFUNCTION("SUM(FILTER(TeamARecordSet, INDEX(TeamARecordSet, 0, 1) = A935)) + SUM(FILTER(TeamBRecordSet, INDEX(TeamBRecordSet, 0, 1) = A935))"),0.0)</f>
        <v>0</v>
      </c>
      <c r="J935" s="2">
        <f t="shared" si="2"/>
        <v>0</v>
      </c>
      <c r="K935" s="2" t="str">
        <f t="shared" si="3"/>
        <v/>
      </c>
    </row>
    <row r="936">
      <c r="A936" s="2"/>
      <c r="B936" s="7"/>
      <c r="D936" s="5" t="str">
        <f>IF(A936 = "", "", COUNTIFS('Game Record'!G:G, A936, 'Game Record'!E:E, C936))</f>
        <v/>
      </c>
      <c r="E936" s="6" t="str">
        <f>IF(A936 = "", "", COUNTIFS('Game Record'!H:H, A936, 'Game Record'!E:E, C936))</f>
        <v/>
      </c>
      <c r="F936" s="2">
        <f t="shared" si="1"/>
        <v>0</v>
      </c>
      <c r="G936" s="1" t="str">
        <f>IF(A936 = "", "", COUNTIF('Game Record'!G:G, A936))</f>
        <v/>
      </c>
      <c r="H936" s="6" t="str">
        <f>IF(A936 = "", "", COUNTIF('Game Record'!H:H, A936))</f>
        <v/>
      </c>
      <c r="I936" s="2">
        <f>IFERROR(__xludf.DUMMYFUNCTION("SUM(FILTER(TeamARecordSet, INDEX(TeamARecordSet, 0, 1) = A936)) + SUM(FILTER(TeamBRecordSet, INDEX(TeamBRecordSet, 0, 1) = A936))"),0.0)</f>
        <v>0</v>
      </c>
      <c r="J936" s="2">
        <f t="shared" si="2"/>
        <v>0</v>
      </c>
      <c r="K936" s="2" t="str">
        <f t="shared" si="3"/>
        <v/>
      </c>
    </row>
    <row r="937">
      <c r="A937" s="2"/>
      <c r="B937" s="7"/>
      <c r="D937" s="5" t="str">
        <f>IF(A937 = "", "", COUNTIFS('Game Record'!G:G, A937, 'Game Record'!E:E, C937))</f>
        <v/>
      </c>
      <c r="E937" s="6" t="str">
        <f>IF(A937 = "", "", COUNTIFS('Game Record'!H:H, A937, 'Game Record'!E:E, C937))</f>
        <v/>
      </c>
      <c r="F937" s="2">
        <f t="shared" si="1"/>
        <v>0</v>
      </c>
      <c r="G937" s="1" t="str">
        <f>IF(A937 = "", "", COUNTIF('Game Record'!G:G, A937))</f>
        <v/>
      </c>
      <c r="H937" s="6" t="str">
        <f>IF(A937 = "", "", COUNTIF('Game Record'!H:H, A937))</f>
        <v/>
      </c>
      <c r="I937" s="2">
        <f>IFERROR(__xludf.DUMMYFUNCTION("SUM(FILTER(TeamARecordSet, INDEX(TeamARecordSet, 0, 1) = A937)) + SUM(FILTER(TeamBRecordSet, INDEX(TeamBRecordSet, 0, 1) = A937))"),0.0)</f>
        <v>0</v>
      </c>
      <c r="J937" s="2">
        <f t="shared" si="2"/>
        <v>0</v>
      </c>
      <c r="K937" s="2" t="str">
        <f t="shared" si="3"/>
        <v/>
      </c>
    </row>
    <row r="938">
      <c r="A938" s="2"/>
      <c r="B938" s="7"/>
      <c r="D938" s="5" t="str">
        <f>IF(A938 = "", "", COUNTIFS('Game Record'!G:G, A938, 'Game Record'!E:E, C938))</f>
        <v/>
      </c>
      <c r="E938" s="6" t="str">
        <f>IF(A938 = "", "", COUNTIFS('Game Record'!H:H, A938, 'Game Record'!E:E, C938))</f>
        <v/>
      </c>
      <c r="F938" s="2">
        <f t="shared" si="1"/>
        <v>0</v>
      </c>
      <c r="G938" s="1" t="str">
        <f>IF(A938 = "", "", COUNTIF('Game Record'!G:G, A938))</f>
        <v/>
      </c>
      <c r="H938" s="6" t="str">
        <f>IF(A938 = "", "", COUNTIF('Game Record'!H:H, A938))</f>
        <v/>
      </c>
      <c r="I938" s="2">
        <f>IFERROR(__xludf.DUMMYFUNCTION("SUM(FILTER(TeamARecordSet, INDEX(TeamARecordSet, 0, 1) = A938)) + SUM(FILTER(TeamBRecordSet, INDEX(TeamBRecordSet, 0, 1) = A938))"),0.0)</f>
        <v>0</v>
      </c>
      <c r="J938" s="2">
        <f t="shared" si="2"/>
        <v>0</v>
      </c>
      <c r="K938" s="2" t="str">
        <f t="shared" si="3"/>
        <v/>
      </c>
    </row>
    <row r="939">
      <c r="A939" s="2"/>
      <c r="B939" s="7"/>
      <c r="D939" s="5" t="str">
        <f>IF(A939 = "", "", COUNTIFS('Game Record'!G:G, A939, 'Game Record'!E:E, C939))</f>
        <v/>
      </c>
      <c r="E939" s="6" t="str">
        <f>IF(A939 = "", "", COUNTIFS('Game Record'!H:H, A939, 'Game Record'!E:E, C939))</f>
        <v/>
      </c>
      <c r="F939" s="2">
        <f t="shared" si="1"/>
        <v>0</v>
      </c>
      <c r="G939" s="1" t="str">
        <f>IF(A939 = "", "", COUNTIF('Game Record'!G:G, A939))</f>
        <v/>
      </c>
      <c r="H939" s="6" t="str">
        <f>IF(A939 = "", "", COUNTIF('Game Record'!H:H, A939))</f>
        <v/>
      </c>
      <c r="I939" s="2">
        <f>IFERROR(__xludf.DUMMYFUNCTION("SUM(FILTER(TeamARecordSet, INDEX(TeamARecordSet, 0, 1) = A939)) + SUM(FILTER(TeamBRecordSet, INDEX(TeamBRecordSet, 0, 1) = A939))"),0.0)</f>
        <v>0</v>
      </c>
      <c r="J939" s="2">
        <f t="shared" si="2"/>
        <v>0</v>
      </c>
      <c r="K939" s="2" t="str">
        <f t="shared" si="3"/>
        <v/>
      </c>
    </row>
    <row r="940">
      <c r="A940" s="2"/>
      <c r="B940" s="7"/>
      <c r="D940" s="5" t="str">
        <f>IF(A940 = "", "", COUNTIFS('Game Record'!G:G, A940, 'Game Record'!E:E, C940))</f>
        <v/>
      </c>
      <c r="E940" s="6" t="str">
        <f>IF(A940 = "", "", COUNTIFS('Game Record'!H:H, A940, 'Game Record'!E:E, C940))</f>
        <v/>
      </c>
      <c r="F940" s="2">
        <f t="shared" si="1"/>
        <v>0</v>
      </c>
      <c r="G940" s="1" t="str">
        <f>IF(A940 = "", "", COUNTIF('Game Record'!G:G, A940))</f>
        <v/>
      </c>
      <c r="H940" s="6" t="str">
        <f>IF(A940 = "", "", COUNTIF('Game Record'!H:H, A940))</f>
        <v/>
      </c>
      <c r="I940" s="2">
        <f>IFERROR(__xludf.DUMMYFUNCTION("SUM(FILTER(TeamARecordSet, INDEX(TeamARecordSet, 0, 1) = A940)) + SUM(FILTER(TeamBRecordSet, INDEX(TeamBRecordSet, 0, 1) = A940))"),0.0)</f>
        <v>0</v>
      </c>
      <c r="J940" s="2">
        <f t="shared" si="2"/>
        <v>0</v>
      </c>
      <c r="K940" s="2" t="str">
        <f t="shared" si="3"/>
        <v/>
      </c>
    </row>
    <row r="941">
      <c r="A941" s="2"/>
      <c r="B941" s="7"/>
      <c r="D941" s="5" t="str">
        <f>IF(A941 = "", "", COUNTIFS('Game Record'!G:G, A941, 'Game Record'!E:E, C941))</f>
        <v/>
      </c>
      <c r="E941" s="6" t="str">
        <f>IF(A941 = "", "", COUNTIFS('Game Record'!H:H, A941, 'Game Record'!E:E, C941))</f>
        <v/>
      </c>
      <c r="F941" s="2">
        <f t="shared" si="1"/>
        <v>0</v>
      </c>
      <c r="G941" s="1" t="str">
        <f>IF(A941 = "", "", COUNTIF('Game Record'!G:G, A941))</f>
        <v/>
      </c>
      <c r="H941" s="6" t="str">
        <f>IF(A941 = "", "", COUNTIF('Game Record'!H:H, A941))</f>
        <v/>
      </c>
      <c r="I941" s="2">
        <f>IFERROR(__xludf.DUMMYFUNCTION("SUM(FILTER(TeamARecordSet, INDEX(TeamARecordSet, 0, 1) = A941)) + SUM(FILTER(TeamBRecordSet, INDEX(TeamBRecordSet, 0, 1) = A941))"),0.0)</f>
        <v>0</v>
      </c>
      <c r="J941" s="2">
        <f t="shared" si="2"/>
        <v>0</v>
      </c>
      <c r="K941" s="2" t="str">
        <f t="shared" si="3"/>
        <v/>
      </c>
    </row>
    <row r="942">
      <c r="A942" s="2"/>
      <c r="B942" s="7"/>
      <c r="D942" s="5" t="str">
        <f>IF(A942 = "", "", COUNTIFS('Game Record'!G:G, A942, 'Game Record'!E:E, C942))</f>
        <v/>
      </c>
      <c r="E942" s="6" t="str">
        <f>IF(A942 = "", "", COUNTIFS('Game Record'!H:H, A942, 'Game Record'!E:E, C942))</f>
        <v/>
      </c>
      <c r="F942" s="2">
        <f t="shared" si="1"/>
        <v>0</v>
      </c>
      <c r="G942" s="1" t="str">
        <f>IF(A942 = "", "", COUNTIF('Game Record'!G:G, A942))</f>
        <v/>
      </c>
      <c r="H942" s="6" t="str">
        <f>IF(A942 = "", "", COUNTIF('Game Record'!H:H, A942))</f>
        <v/>
      </c>
      <c r="I942" s="2">
        <f>IFERROR(__xludf.DUMMYFUNCTION("SUM(FILTER(TeamARecordSet, INDEX(TeamARecordSet, 0, 1) = A942)) + SUM(FILTER(TeamBRecordSet, INDEX(TeamBRecordSet, 0, 1) = A942))"),0.0)</f>
        <v>0</v>
      </c>
      <c r="J942" s="2">
        <f t="shared" si="2"/>
        <v>0</v>
      </c>
      <c r="K942" s="2" t="str">
        <f t="shared" si="3"/>
        <v/>
      </c>
    </row>
    <row r="943">
      <c r="A943" s="2"/>
      <c r="B943" s="7"/>
      <c r="D943" s="5" t="str">
        <f>IF(A943 = "", "", COUNTIFS('Game Record'!G:G, A943, 'Game Record'!E:E, C943))</f>
        <v/>
      </c>
      <c r="E943" s="6" t="str">
        <f>IF(A943 = "", "", COUNTIFS('Game Record'!H:H, A943, 'Game Record'!E:E, C943))</f>
        <v/>
      </c>
      <c r="F943" s="2">
        <f t="shared" si="1"/>
        <v>0</v>
      </c>
      <c r="G943" s="1" t="str">
        <f>IF(A943 = "", "", COUNTIF('Game Record'!G:G, A943))</f>
        <v/>
      </c>
      <c r="H943" s="6" t="str">
        <f>IF(A943 = "", "", COUNTIF('Game Record'!H:H, A943))</f>
        <v/>
      </c>
      <c r="I943" s="2">
        <f>IFERROR(__xludf.DUMMYFUNCTION("SUM(FILTER(TeamARecordSet, INDEX(TeamARecordSet, 0, 1) = A943)) + SUM(FILTER(TeamBRecordSet, INDEX(TeamBRecordSet, 0, 1) = A943))"),0.0)</f>
        <v>0</v>
      </c>
      <c r="J943" s="2">
        <f t="shared" si="2"/>
        <v>0</v>
      </c>
      <c r="K943" s="2" t="str">
        <f t="shared" si="3"/>
        <v/>
      </c>
    </row>
    <row r="944">
      <c r="A944" s="2"/>
      <c r="B944" s="7"/>
      <c r="D944" s="5" t="str">
        <f>IF(A944 = "", "", COUNTIFS('Game Record'!G:G, A944, 'Game Record'!E:E, C944))</f>
        <v/>
      </c>
      <c r="E944" s="6" t="str">
        <f>IF(A944 = "", "", COUNTIFS('Game Record'!H:H, A944, 'Game Record'!E:E, C944))</f>
        <v/>
      </c>
      <c r="F944" s="2">
        <f t="shared" si="1"/>
        <v>0</v>
      </c>
      <c r="G944" s="1" t="str">
        <f>IF(A944 = "", "", COUNTIF('Game Record'!G:G, A944))</f>
        <v/>
      </c>
      <c r="H944" s="6" t="str">
        <f>IF(A944 = "", "", COUNTIF('Game Record'!H:H, A944))</f>
        <v/>
      </c>
      <c r="I944" s="2">
        <f>IFERROR(__xludf.DUMMYFUNCTION("SUM(FILTER(TeamARecordSet, INDEX(TeamARecordSet, 0, 1) = A944)) + SUM(FILTER(TeamBRecordSet, INDEX(TeamBRecordSet, 0, 1) = A944))"),0.0)</f>
        <v>0</v>
      </c>
      <c r="J944" s="2">
        <f t="shared" si="2"/>
        <v>0</v>
      </c>
      <c r="K944" s="2" t="str">
        <f t="shared" si="3"/>
        <v/>
      </c>
    </row>
    <row r="945">
      <c r="A945" s="2"/>
      <c r="B945" s="7"/>
      <c r="D945" s="5" t="str">
        <f>IF(A945 = "", "", COUNTIFS('Game Record'!G:G, A945, 'Game Record'!E:E, C945))</f>
        <v/>
      </c>
      <c r="E945" s="6" t="str">
        <f>IF(A945 = "", "", COUNTIFS('Game Record'!H:H, A945, 'Game Record'!E:E, C945))</f>
        <v/>
      </c>
      <c r="F945" s="2">
        <f t="shared" si="1"/>
        <v>0</v>
      </c>
      <c r="G945" s="1" t="str">
        <f>IF(A945 = "", "", COUNTIF('Game Record'!G:G, A945))</f>
        <v/>
      </c>
      <c r="H945" s="6" t="str">
        <f>IF(A945 = "", "", COUNTIF('Game Record'!H:H, A945))</f>
        <v/>
      </c>
      <c r="I945" s="2">
        <f>IFERROR(__xludf.DUMMYFUNCTION("SUM(FILTER(TeamARecordSet, INDEX(TeamARecordSet, 0, 1) = A945)) + SUM(FILTER(TeamBRecordSet, INDEX(TeamBRecordSet, 0, 1) = A945))"),0.0)</f>
        <v>0</v>
      </c>
      <c r="J945" s="2">
        <f t="shared" si="2"/>
        <v>0</v>
      </c>
      <c r="K945" s="2" t="str">
        <f t="shared" si="3"/>
        <v/>
      </c>
    </row>
    <row r="946">
      <c r="A946" s="2"/>
      <c r="B946" s="7"/>
      <c r="D946" s="5" t="str">
        <f>IF(A946 = "", "", COUNTIFS('Game Record'!G:G, A946, 'Game Record'!E:E, C946))</f>
        <v/>
      </c>
      <c r="E946" s="6" t="str">
        <f>IF(A946 = "", "", COUNTIFS('Game Record'!H:H, A946, 'Game Record'!E:E, C946))</f>
        <v/>
      </c>
      <c r="F946" s="2">
        <f t="shared" si="1"/>
        <v>0</v>
      </c>
      <c r="G946" s="1" t="str">
        <f>IF(A946 = "", "", COUNTIF('Game Record'!G:G, A946))</f>
        <v/>
      </c>
      <c r="H946" s="6" t="str">
        <f>IF(A946 = "", "", COUNTIF('Game Record'!H:H, A946))</f>
        <v/>
      </c>
      <c r="I946" s="2">
        <f>IFERROR(__xludf.DUMMYFUNCTION("SUM(FILTER(TeamARecordSet, INDEX(TeamARecordSet, 0, 1) = A946)) + SUM(FILTER(TeamBRecordSet, INDEX(TeamBRecordSet, 0, 1) = A946))"),0.0)</f>
        <v>0</v>
      </c>
      <c r="J946" s="2">
        <f t="shared" si="2"/>
        <v>0</v>
      </c>
      <c r="K946" s="2" t="str">
        <f t="shared" si="3"/>
        <v/>
      </c>
    </row>
    <row r="947">
      <c r="A947" s="2"/>
      <c r="B947" s="7"/>
      <c r="D947" s="5" t="str">
        <f>IF(A947 = "", "", COUNTIFS('Game Record'!G:G, A947, 'Game Record'!E:E, C947))</f>
        <v/>
      </c>
      <c r="E947" s="6" t="str">
        <f>IF(A947 = "", "", COUNTIFS('Game Record'!H:H, A947, 'Game Record'!E:E, C947))</f>
        <v/>
      </c>
      <c r="F947" s="2">
        <f t="shared" si="1"/>
        <v>0</v>
      </c>
      <c r="G947" s="1" t="str">
        <f>IF(A947 = "", "", COUNTIF('Game Record'!G:G, A947))</f>
        <v/>
      </c>
      <c r="H947" s="6" t="str">
        <f>IF(A947 = "", "", COUNTIF('Game Record'!H:H, A947))</f>
        <v/>
      </c>
      <c r="I947" s="2">
        <f>IFERROR(__xludf.DUMMYFUNCTION("SUM(FILTER(TeamARecordSet, INDEX(TeamARecordSet, 0, 1) = A947)) + SUM(FILTER(TeamBRecordSet, INDEX(TeamBRecordSet, 0, 1) = A947))"),0.0)</f>
        <v>0</v>
      </c>
      <c r="J947" s="2">
        <f t="shared" si="2"/>
        <v>0</v>
      </c>
      <c r="K947" s="2" t="str">
        <f t="shared" si="3"/>
        <v/>
      </c>
    </row>
    <row r="948">
      <c r="A948" s="2"/>
      <c r="B948" s="7"/>
      <c r="D948" s="5" t="str">
        <f>IF(A948 = "", "", COUNTIFS('Game Record'!G:G, A948, 'Game Record'!E:E, C948))</f>
        <v/>
      </c>
      <c r="E948" s="6" t="str">
        <f>IF(A948 = "", "", COUNTIFS('Game Record'!H:H, A948, 'Game Record'!E:E, C948))</f>
        <v/>
      </c>
      <c r="F948" s="2">
        <f t="shared" si="1"/>
        <v>0</v>
      </c>
      <c r="G948" s="1" t="str">
        <f>IF(A948 = "", "", COUNTIF('Game Record'!G:G, A948))</f>
        <v/>
      </c>
      <c r="H948" s="6" t="str">
        <f>IF(A948 = "", "", COUNTIF('Game Record'!H:H, A948))</f>
        <v/>
      </c>
      <c r="I948" s="2">
        <f>IFERROR(__xludf.DUMMYFUNCTION("SUM(FILTER(TeamARecordSet, INDEX(TeamARecordSet, 0, 1) = A948)) + SUM(FILTER(TeamBRecordSet, INDEX(TeamBRecordSet, 0, 1) = A948))"),0.0)</f>
        <v>0</v>
      </c>
      <c r="J948" s="2">
        <f t="shared" si="2"/>
        <v>0</v>
      </c>
      <c r="K948" s="2" t="str">
        <f t="shared" si="3"/>
        <v/>
      </c>
    </row>
    <row r="949">
      <c r="A949" s="2"/>
      <c r="B949" s="7"/>
      <c r="D949" s="5" t="str">
        <f>IF(A949 = "", "", COUNTIFS('Game Record'!G:G, A949, 'Game Record'!E:E, C949))</f>
        <v/>
      </c>
      <c r="E949" s="6" t="str">
        <f>IF(A949 = "", "", COUNTIFS('Game Record'!H:H, A949, 'Game Record'!E:E, C949))</f>
        <v/>
      </c>
      <c r="F949" s="2">
        <f t="shared" si="1"/>
        <v>0</v>
      </c>
      <c r="G949" s="1" t="str">
        <f>IF(A949 = "", "", COUNTIF('Game Record'!G:G, A949))</f>
        <v/>
      </c>
      <c r="H949" s="6" t="str">
        <f>IF(A949 = "", "", COUNTIF('Game Record'!H:H, A949))</f>
        <v/>
      </c>
      <c r="I949" s="2">
        <f>IFERROR(__xludf.DUMMYFUNCTION("SUM(FILTER(TeamARecordSet, INDEX(TeamARecordSet, 0, 1) = A949)) + SUM(FILTER(TeamBRecordSet, INDEX(TeamBRecordSet, 0, 1) = A949))"),0.0)</f>
        <v>0</v>
      </c>
      <c r="J949" s="2">
        <f t="shared" si="2"/>
        <v>0</v>
      </c>
      <c r="K949" s="2" t="str">
        <f t="shared" si="3"/>
        <v/>
      </c>
    </row>
    <row r="950">
      <c r="A950" s="2"/>
      <c r="B950" s="7"/>
      <c r="D950" s="5" t="str">
        <f>IF(A950 = "", "", COUNTIFS('Game Record'!G:G, A950, 'Game Record'!E:E, C950))</f>
        <v/>
      </c>
      <c r="E950" s="6" t="str">
        <f>IF(A950 = "", "", COUNTIFS('Game Record'!H:H, A950, 'Game Record'!E:E, C950))</f>
        <v/>
      </c>
      <c r="F950" s="2">
        <f t="shared" si="1"/>
        <v>0</v>
      </c>
      <c r="G950" s="1" t="str">
        <f>IF(A950 = "", "", COUNTIF('Game Record'!G:G, A950))</f>
        <v/>
      </c>
      <c r="H950" s="6" t="str">
        <f>IF(A950 = "", "", COUNTIF('Game Record'!H:H, A950))</f>
        <v/>
      </c>
      <c r="I950" s="2">
        <f>IFERROR(__xludf.DUMMYFUNCTION("SUM(FILTER(TeamARecordSet, INDEX(TeamARecordSet, 0, 1) = A950)) + SUM(FILTER(TeamBRecordSet, INDEX(TeamBRecordSet, 0, 1) = A950))"),0.0)</f>
        <v>0</v>
      </c>
      <c r="J950" s="2">
        <f t="shared" si="2"/>
        <v>0</v>
      </c>
      <c r="K950" s="2" t="str">
        <f t="shared" si="3"/>
        <v/>
      </c>
    </row>
    <row r="951">
      <c r="A951" s="2"/>
      <c r="B951" s="7"/>
      <c r="D951" s="5" t="str">
        <f>IF(A951 = "", "", COUNTIFS('Game Record'!G:G, A951, 'Game Record'!E:E, C951))</f>
        <v/>
      </c>
      <c r="E951" s="6" t="str">
        <f>IF(A951 = "", "", COUNTIFS('Game Record'!H:H, A951, 'Game Record'!E:E, C951))</f>
        <v/>
      </c>
      <c r="F951" s="2">
        <f t="shared" si="1"/>
        <v>0</v>
      </c>
      <c r="G951" s="1" t="str">
        <f>IF(A951 = "", "", COUNTIF('Game Record'!G:G, A951))</f>
        <v/>
      </c>
      <c r="H951" s="6" t="str">
        <f>IF(A951 = "", "", COUNTIF('Game Record'!H:H, A951))</f>
        <v/>
      </c>
      <c r="I951" s="2">
        <f>IFERROR(__xludf.DUMMYFUNCTION("SUM(FILTER(TeamARecordSet, INDEX(TeamARecordSet, 0, 1) = A951)) + SUM(FILTER(TeamBRecordSet, INDEX(TeamBRecordSet, 0, 1) = A951))"),0.0)</f>
        <v>0</v>
      </c>
      <c r="J951" s="2">
        <f t="shared" si="2"/>
        <v>0</v>
      </c>
      <c r="K951" s="2" t="str">
        <f t="shared" si="3"/>
        <v/>
      </c>
    </row>
    <row r="952">
      <c r="A952" s="2"/>
      <c r="B952" s="7"/>
      <c r="D952" s="5" t="str">
        <f>IF(A952 = "", "", COUNTIFS('Game Record'!G:G, A952, 'Game Record'!E:E, C952))</f>
        <v/>
      </c>
      <c r="E952" s="6" t="str">
        <f>IF(A952 = "", "", COUNTIFS('Game Record'!H:H, A952, 'Game Record'!E:E, C952))</f>
        <v/>
      </c>
      <c r="F952" s="2">
        <f t="shared" si="1"/>
        <v>0</v>
      </c>
      <c r="G952" s="1" t="str">
        <f>IF(A952 = "", "", COUNTIF('Game Record'!G:G, A952))</f>
        <v/>
      </c>
      <c r="H952" s="6" t="str">
        <f>IF(A952 = "", "", COUNTIF('Game Record'!H:H, A952))</f>
        <v/>
      </c>
      <c r="I952" s="2">
        <f>IFERROR(__xludf.DUMMYFUNCTION("SUM(FILTER(TeamARecordSet, INDEX(TeamARecordSet, 0, 1) = A952)) + SUM(FILTER(TeamBRecordSet, INDEX(TeamBRecordSet, 0, 1) = A952))"),0.0)</f>
        <v>0</v>
      </c>
      <c r="J952" s="2">
        <f t="shared" si="2"/>
        <v>0</v>
      </c>
      <c r="K952" s="2" t="str">
        <f t="shared" si="3"/>
        <v/>
      </c>
    </row>
    <row r="953">
      <c r="A953" s="2"/>
      <c r="B953" s="7"/>
      <c r="D953" s="5" t="str">
        <f>IF(A953 = "", "", COUNTIFS('Game Record'!G:G, A953, 'Game Record'!E:E, C953))</f>
        <v/>
      </c>
      <c r="E953" s="6" t="str">
        <f>IF(A953 = "", "", COUNTIFS('Game Record'!H:H, A953, 'Game Record'!E:E, C953))</f>
        <v/>
      </c>
      <c r="F953" s="2">
        <f t="shared" si="1"/>
        <v>0</v>
      </c>
      <c r="G953" s="1" t="str">
        <f>IF(A953 = "", "", COUNTIF('Game Record'!G:G, A953))</f>
        <v/>
      </c>
      <c r="H953" s="6" t="str">
        <f>IF(A953 = "", "", COUNTIF('Game Record'!H:H, A953))</f>
        <v/>
      </c>
      <c r="I953" s="2">
        <f>IFERROR(__xludf.DUMMYFUNCTION("SUM(FILTER(TeamARecordSet, INDEX(TeamARecordSet, 0, 1) = A953)) + SUM(FILTER(TeamBRecordSet, INDEX(TeamBRecordSet, 0, 1) = A953))"),0.0)</f>
        <v>0</v>
      </c>
      <c r="J953" s="2">
        <f t="shared" si="2"/>
        <v>0</v>
      </c>
      <c r="K953" s="2" t="str">
        <f t="shared" si="3"/>
        <v/>
      </c>
    </row>
    <row r="954">
      <c r="A954" s="2"/>
      <c r="B954" s="7"/>
      <c r="D954" s="5" t="str">
        <f>IF(A954 = "", "", COUNTIFS('Game Record'!G:G, A954, 'Game Record'!E:E, C954))</f>
        <v/>
      </c>
      <c r="E954" s="6" t="str">
        <f>IF(A954 = "", "", COUNTIFS('Game Record'!H:H, A954, 'Game Record'!E:E, C954))</f>
        <v/>
      </c>
      <c r="F954" s="2">
        <f t="shared" si="1"/>
        <v>0</v>
      </c>
      <c r="G954" s="1" t="str">
        <f>IF(A954 = "", "", COUNTIF('Game Record'!G:G, A954))</f>
        <v/>
      </c>
      <c r="H954" s="6" t="str">
        <f>IF(A954 = "", "", COUNTIF('Game Record'!H:H, A954))</f>
        <v/>
      </c>
      <c r="I954" s="2">
        <f>IFERROR(__xludf.DUMMYFUNCTION("SUM(FILTER(TeamARecordSet, INDEX(TeamARecordSet, 0, 1) = A954)) + SUM(FILTER(TeamBRecordSet, INDEX(TeamBRecordSet, 0, 1) = A954))"),0.0)</f>
        <v>0</v>
      </c>
      <c r="J954" s="2">
        <f t="shared" si="2"/>
        <v>0</v>
      </c>
      <c r="K954" s="2" t="str">
        <f t="shared" si="3"/>
        <v/>
      </c>
    </row>
    <row r="955">
      <c r="A955" s="2"/>
      <c r="B955" s="7"/>
      <c r="D955" s="5" t="str">
        <f>IF(A955 = "", "", COUNTIFS('Game Record'!G:G, A955, 'Game Record'!E:E, C955))</f>
        <v/>
      </c>
      <c r="E955" s="6" t="str">
        <f>IF(A955 = "", "", COUNTIFS('Game Record'!H:H, A955, 'Game Record'!E:E, C955))</f>
        <v/>
      </c>
      <c r="F955" s="2">
        <f t="shared" si="1"/>
        <v>0</v>
      </c>
      <c r="G955" s="1" t="str">
        <f>IF(A955 = "", "", COUNTIF('Game Record'!G:G, A955))</f>
        <v/>
      </c>
      <c r="H955" s="6" t="str">
        <f>IF(A955 = "", "", COUNTIF('Game Record'!H:H, A955))</f>
        <v/>
      </c>
      <c r="I955" s="2">
        <f>IFERROR(__xludf.DUMMYFUNCTION("SUM(FILTER(TeamARecordSet, INDEX(TeamARecordSet, 0, 1) = A955)) + SUM(FILTER(TeamBRecordSet, INDEX(TeamBRecordSet, 0, 1) = A955))"),0.0)</f>
        <v>0</v>
      </c>
      <c r="J955" s="2">
        <f t="shared" si="2"/>
        <v>0</v>
      </c>
      <c r="K955" s="2" t="str">
        <f t="shared" si="3"/>
        <v/>
      </c>
    </row>
    <row r="956">
      <c r="A956" s="2"/>
      <c r="B956" s="7"/>
      <c r="D956" s="5" t="str">
        <f>IF(A956 = "", "", COUNTIFS('Game Record'!G:G, A956, 'Game Record'!E:E, C956))</f>
        <v/>
      </c>
      <c r="E956" s="6" t="str">
        <f>IF(A956 = "", "", COUNTIFS('Game Record'!H:H, A956, 'Game Record'!E:E, C956))</f>
        <v/>
      </c>
      <c r="F956" s="2">
        <f t="shared" si="1"/>
        <v>0</v>
      </c>
      <c r="G956" s="1" t="str">
        <f>IF(A956 = "", "", COUNTIF('Game Record'!G:G, A956))</f>
        <v/>
      </c>
      <c r="H956" s="6" t="str">
        <f>IF(A956 = "", "", COUNTIF('Game Record'!H:H, A956))</f>
        <v/>
      </c>
      <c r="I956" s="2">
        <f>IFERROR(__xludf.DUMMYFUNCTION("SUM(FILTER(TeamARecordSet, INDEX(TeamARecordSet, 0, 1) = A956)) + SUM(FILTER(TeamBRecordSet, INDEX(TeamBRecordSet, 0, 1) = A956))"),0.0)</f>
        <v>0</v>
      </c>
      <c r="J956" s="2">
        <f t="shared" si="2"/>
        <v>0</v>
      </c>
      <c r="K956" s="2" t="str">
        <f t="shared" si="3"/>
        <v/>
      </c>
    </row>
    <row r="957">
      <c r="A957" s="2"/>
      <c r="B957" s="7"/>
      <c r="D957" s="5" t="str">
        <f>IF(A957 = "", "", COUNTIFS('Game Record'!G:G, A957, 'Game Record'!E:E, C957))</f>
        <v/>
      </c>
      <c r="E957" s="6" t="str">
        <f>IF(A957 = "", "", COUNTIFS('Game Record'!H:H, A957, 'Game Record'!E:E, C957))</f>
        <v/>
      </c>
      <c r="F957" s="2">
        <f t="shared" si="1"/>
        <v>0</v>
      </c>
      <c r="G957" s="1" t="str">
        <f>IF(A957 = "", "", COUNTIF('Game Record'!G:G, A957))</f>
        <v/>
      </c>
      <c r="H957" s="6" t="str">
        <f>IF(A957 = "", "", COUNTIF('Game Record'!H:H, A957))</f>
        <v/>
      </c>
      <c r="I957" s="2">
        <f>IFERROR(__xludf.DUMMYFUNCTION("SUM(FILTER(TeamARecordSet, INDEX(TeamARecordSet, 0, 1) = A957)) + SUM(FILTER(TeamBRecordSet, INDEX(TeamBRecordSet, 0, 1) = A957))"),0.0)</f>
        <v>0</v>
      </c>
      <c r="J957" s="2">
        <f t="shared" si="2"/>
        <v>0</v>
      </c>
      <c r="K957" s="2" t="str">
        <f t="shared" si="3"/>
        <v/>
      </c>
    </row>
    <row r="958">
      <c r="A958" s="2"/>
      <c r="B958" s="7"/>
      <c r="D958" s="5" t="str">
        <f>IF(A958 = "", "", COUNTIFS('Game Record'!G:G, A958, 'Game Record'!E:E, C958))</f>
        <v/>
      </c>
      <c r="E958" s="6" t="str">
        <f>IF(A958 = "", "", COUNTIFS('Game Record'!H:H, A958, 'Game Record'!E:E, C958))</f>
        <v/>
      </c>
      <c r="F958" s="2">
        <f t="shared" si="1"/>
        <v>0</v>
      </c>
      <c r="G958" s="1" t="str">
        <f>IF(A958 = "", "", COUNTIF('Game Record'!G:G, A958))</f>
        <v/>
      </c>
      <c r="H958" s="6" t="str">
        <f>IF(A958 = "", "", COUNTIF('Game Record'!H:H, A958))</f>
        <v/>
      </c>
      <c r="I958" s="2">
        <f>IFERROR(__xludf.DUMMYFUNCTION("SUM(FILTER(TeamARecordSet, INDEX(TeamARecordSet, 0, 1) = A958)) + SUM(FILTER(TeamBRecordSet, INDEX(TeamBRecordSet, 0, 1) = A958))"),0.0)</f>
        <v>0</v>
      </c>
      <c r="J958" s="2">
        <f t="shared" si="2"/>
        <v>0</v>
      </c>
      <c r="K958" s="2" t="str">
        <f t="shared" si="3"/>
        <v/>
      </c>
    </row>
    <row r="959">
      <c r="A959" s="2"/>
      <c r="B959" s="7"/>
      <c r="D959" s="5" t="str">
        <f>IF(A959 = "", "", COUNTIFS('Game Record'!G:G, A959, 'Game Record'!E:E, C959))</f>
        <v/>
      </c>
      <c r="E959" s="6" t="str">
        <f>IF(A959 = "", "", COUNTIFS('Game Record'!H:H, A959, 'Game Record'!E:E, C959))</f>
        <v/>
      </c>
      <c r="F959" s="2">
        <f t="shared" si="1"/>
        <v>0</v>
      </c>
      <c r="G959" s="1" t="str">
        <f>IF(A959 = "", "", COUNTIF('Game Record'!G:G, A959))</f>
        <v/>
      </c>
      <c r="H959" s="6" t="str">
        <f>IF(A959 = "", "", COUNTIF('Game Record'!H:H, A959))</f>
        <v/>
      </c>
      <c r="I959" s="2">
        <f>IFERROR(__xludf.DUMMYFUNCTION("SUM(FILTER(TeamARecordSet, INDEX(TeamARecordSet, 0, 1) = A959)) + SUM(FILTER(TeamBRecordSet, INDEX(TeamBRecordSet, 0, 1) = A959))"),0.0)</f>
        <v>0</v>
      </c>
      <c r="J959" s="2">
        <f t="shared" si="2"/>
        <v>0</v>
      </c>
      <c r="K959" s="2" t="str">
        <f t="shared" si="3"/>
        <v/>
      </c>
    </row>
    <row r="960">
      <c r="A960" s="2"/>
      <c r="B960" s="7"/>
      <c r="D960" s="5" t="str">
        <f>IF(A960 = "", "", COUNTIFS('Game Record'!G:G, A960, 'Game Record'!E:E, C960))</f>
        <v/>
      </c>
      <c r="E960" s="6" t="str">
        <f>IF(A960 = "", "", COUNTIFS('Game Record'!H:H, A960, 'Game Record'!E:E, C960))</f>
        <v/>
      </c>
      <c r="F960" s="2">
        <f t="shared" si="1"/>
        <v>0</v>
      </c>
      <c r="G960" s="1" t="str">
        <f>IF(A960 = "", "", COUNTIF('Game Record'!G:G, A960))</f>
        <v/>
      </c>
      <c r="H960" s="6" t="str">
        <f>IF(A960 = "", "", COUNTIF('Game Record'!H:H, A960))</f>
        <v/>
      </c>
      <c r="I960" s="2">
        <f>IFERROR(__xludf.DUMMYFUNCTION("SUM(FILTER(TeamARecordSet, INDEX(TeamARecordSet, 0, 1) = A960)) + SUM(FILTER(TeamBRecordSet, INDEX(TeamBRecordSet, 0, 1) = A960))"),0.0)</f>
        <v>0</v>
      </c>
      <c r="J960" s="2">
        <f t="shared" si="2"/>
        <v>0</v>
      </c>
      <c r="K960" s="2" t="str">
        <f t="shared" si="3"/>
        <v/>
      </c>
    </row>
    <row r="961">
      <c r="A961" s="2"/>
      <c r="B961" s="7"/>
      <c r="D961" s="5" t="str">
        <f>IF(A961 = "", "", COUNTIFS('Game Record'!G:G, A961, 'Game Record'!E:E, C961))</f>
        <v/>
      </c>
      <c r="E961" s="6" t="str">
        <f>IF(A961 = "", "", COUNTIFS('Game Record'!H:H, A961, 'Game Record'!E:E, C961))</f>
        <v/>
      </c>
      <c r="F961" s="2">
        <f t="shared" si="1"/>
        <v>0</v>
      </c>
      <c r="G961" s="1" t="str">
        <f>IF(A961 = "", "", COUNTIF('Game Record'!G:G, A961))</f>
        <v/>
      </c>
      <c r="H961" s="6" t="str">
        <f>IF(A961 = "", "", COUNTIF('Game Record'!H:H, A961))</f>
        <v/>
      </c>
      <c r="I961" s="2">
        <f>IFERROR(__xludf.DUMMYFUNCTION("SUM(FILTER(TeamARecordSet, INDEX(TeamARecordSet, 0, 1) = A961)) + SUM(FILTER(TeamBRecordSet, INDEX(TeamBRecordSet, 0, 1) = A961))"),0.0)</f>
        <v>0</v>
      </c>
      <c r="J961" s="2">
        <f t="shared" si="2"/>
        <v>0</v>
      </c>
      <c r="K961" s="2" t="str">
        <f t="shared" si="3"/>
        <v/>
      </c>
    </row>
    <row r="962">
      <c r="A962" s="2"/>
      <c r="B962" s="7"/>
      <c r="D962" s="5" t="str">
        <f>IF(A962 = "", "", COUNTIFS('Game Record'!G:G, A962, 'Game Record'!E:E, C962))</f>
        <v/>
      </c>
      <c r="E962" s="6" t="str">
        <f>IF(A962 = "", "", COUNTIFS('Game Record'!H:H, A962, 'Game Record'!E:E, C962))</f>
        <v/>
      </c>
      <c r="F962" s="2">
        <f t="shared" si="1"/>
        <v>0</v>
      </c>
      <c r="G962" s="1" t="str">
        <f>IF(A962 = "", "", COUNTIF('Game Record'!G:G, A962))</f>
        <v/>
      </c>
      <c r="H962" s="6" t="str">
        <f>IF(A962 = "", "", COUNTIF('Game Record'!H:H, A962))</f>
        <v/>
      </c>
      <c r="I962" s="2">
        <f>IFERROR(__xludf.DUMMYFUNCTION("SUM(FILTER(TeamARecordSet, INDEX(TeamARecordSet, 0, 1) = A962)) + SUM(FILTER(TeamBRecordSet, INDEX(TeamBRecordSet, 0, 1) = A962))"),0.0)</f>
        <v>0</v>
      </c>
      <c r="J962" s="2">
        <f t="shared" si="2"/>
        <v>0</v>
      </c>
      <c r="K962" s="2" t="str">
        <f t="shared" si="3"/>
        <v/>
      </c>
    </row>
    <row r="963">
      <c r="A963" s="2"/>
      <c r="B963" s="7"/>
      <c r="D963" s="5" t="str">
        <f>IF(A963 = "", "", COUNTIFS('Game Record'!G:G, A963, 'Game Record'!E:E, C963))</f>
        <v/>
      </c>
      <c r="E963" s="6" t="str">
        <f>IF(A963 = "", "", COUNTIFS('Game Record'!H:H, A963, 'Game Record'!E:E, C963))</f>
        <v/>
      </c>
      <c r="F963" s="2">
        <f t="shared" si="1"/>
        <v>0</v>
      </c>
      <c r="G963" s="1" t="str">
        <f>IF(A963 = "", "", COUNTIF('Game Record'!G:G, A963))</f>
        <v/>
      </c>
      <c r="H963" s="6" t="str">
        <f>IF(A963 = "", "", COUNTIF('Game Record'!H:H, A963))</f>
        <v/>
      </c>
      <c r="I963" s="2">
        <f>IFERROR(__xludf.DUMMYFUNCTION("SUM(FILTER(TeamARecordSet, INDEX(TeamARecordSet, 0, 1) = A963)) + SUM(FILTER(TeamBRecordSet, INDEX(TeamBRecordSet, 0, 1) = A963))"),0.0)</f>
        <v>0</v>
      </c>
      <c r="J963" s="2">
        <f t="shared" si="2"/>
        <v>0</v>
      </c>
      <c r="K963" s="2" t="str">
        <f t="shared" si="3"/>
        <v/>
      </c>
    </row>
    <row r="964">
      <c r="A964" s="2"/>
      <c r="B964" s="7"/>
      <c r="D964" s="5" t="str">
        <f>IF(A964 = "", "", COUNTIFS('Game Record'!G:G, A964, 'Game Record'!E:E, C964))</f>
        <v/>
      </c>
      <c r="E964" s="6" t="str">
        <f>IF(A964 = "", "", COUNTIFS('Game Record'!H:H, A964, 'Game Record'!E:E, C964))</f>
        <v/>
      </c>
      <c r="F964" s="2">
        <f t="shared" si="1"/>
        <v>0</v>
      </c>
      <c r="G964" s="1" t="str">
        <f>IF(A964 = "", "", COUNTIF('Game Record'!G:G, A964))</f>
        <v/>
      </c>
      <c r="H964" s="6" t="str">
        <f>IF(A964 = "", "", COUNTIF('Game Record'!H:H, A964))</f>
        <v/>
      </c>
      <c r="I964" s="2">
        <f>IFERROR(__xludf.DUMMYFUNCTION("SUM(FILTER(TeamARecordSet, INDEX(TeamARecordSet, 0, 1) = A964)) + SUM(FILTER(TeamBRecordSet, INDEX(TeamBRecordSet, 0, 1) = A964))"),0.0)</f>
        <v>0</v>
      </c>
      <c r="J964" s="2">
        <f t="shared" si="2"/>
        <v>0</v>
      </c>
      <c r="K964" s="2" t="str">
        <f t="shared" si="3"/>
        <v/>
      </c>
    </row>
    <row r="965">
      <c r="A965" s="2"/>
      <c r="B965" s="7"/>
      <c r="D965" s="5" t="str">
        <f>IF(A965 = "", "", COUNTIFS('Game Record'!G:G, A965, 'Game Record'!E:E, C965))</f>
        <v/>
      </c>
      <c r="E965" s="6" t="str">
        <f>IF(A965 = "", "", COUNTIFS('Game Record'!H:H, A965, 'Game Record'!E:E, C965))</f>
        <v/>
      </c>
      <c r="F965" s="2">
        <f t="shared" si="1"/>
        <v>0</v>
      </c>
      <c r="G965" s="1" t="str">
        <f>IF(A965 = "", "", COUNTIF('Game Record'!G:G, A965))</f>
        <v/>
      </c>
      <c r="H965" s="6" t="str">
        <f>IF(A965 = "", "", COUNTIF('Game Record'!H:H, A965))</f>
        <v/>
      </c>
      <c r="I965" s="2">
        <f>IFERROR(__xludf.DUMMYFUNCTION("SUM(FILTER(TeamARecordSet, INDEX(TeamARecordSet, 0, 1) = A965)) + SUM(FILTER(TeamBRecordSet, INDEX(TeamBRecordSet, 0, 1) = A965))"),0.0)</f>
        <v>0</v>
      </c>
      <c r="J965" s="2">
        <f t="shared" si="2"/>
        <v>0</v>
      </c>
      <c r="K965" s="2" t="str">
        <f t="shared" si="3"/>
        <v/>
      </c>
    </row>
    <row r="966">
      <c r="A966" s="2"/>
      <c r="B966" s="7"/>
      <c r="D966" s="5" t="str">
        <f>IF(A966 = "", "", COUNTIFS('Game Record'!G:G, A966, 'Game Record'!E:E, C966))</f>
        <v/>
      </c>
      <c r="E966" s="6" t="str">
        <f>IF(A966 = "", "", COUNTIFS('Game Record'!H:H, A966, 'Game Record'!E:E, C966))</f>
        <v/>
      </c>
      <c r="F966" s="2">
        <f t="shared" si="1"/>
        <v>0</v>
      </c>
      <c r="G966" s="1" t="str">
        <f>IF(A966 = "", "", COUNTIF('Game Record'!G:G, A966))</f>
        <v/>
      </c>
      <c r="H966" s="6" t="str">
        <f>IF(A966 = "", "", COUNTIF('Game Record'!H:H, A966))</f>
        <v/>
      </c>
      <c r="I966" s="2">
        <f>IFERROR(__xludf.DUMMYFUNCTION("SUM(FILTER(TeamARecordSet, INDEX(TeamARecordSet, 0, 1) = A966)) + SUM(FILTER(TeamBRecordSet, INDEX(TeamBRecordSet, 0, 1) = A966))"),0.0)</f>
        <v>0</v>
      </c>
      <c r="J966" s="2">
        <f t="shared" si="2"/>
        <v>0</v>
      </c>
      <c r="K966" s="2" t="str">
        <f t="shared" si="3"/>
        <v/>
      </c>
    </row>
    <row r="967">
      <c r="A967" s="2"/>
      <c r="B967" s="7"/>
      <c r="D967" s="5" t="str">
        <f>IF(A967 = "", "", COUNTIFS('Game Record'!G:G, A967, 'Game Record'!E:E, C967))</f>
        <v/>
      </c>
      <c r="E967" s="6" t="str">
        <f>IF(A967 = "", "", COUNTIFS('Game Record'!H:H, A967, 'Game Record'!E:E, C967))</f>
        <v/>
      </c>
      <c r="F967" s="2">
        <f t="shared" si="1"/>
        <v>0</v>
      </c>
      <c r="G967" s="1" t="str">
        <f>IF(A967 = "", "", COUNTIF('Game Record'!G:G, A967))</f>
        <v/>
      </c>
      <c r="H967" s="6" t="str">
        <f>IF(A967 = "", "", COUNTIF('Game Record'!H:H, A967))</f>
        <v/>
      </c>
      <c r="I967" s="2">
        <f>IFERROR(__xludf.DUMMYFUNCTION("SUM(FILTER(TeamARecordSet, INDEX(TeamARecordSet, 0, 1) = A967)) + SUM(FILTER(TeamBRecordSet, INDEX(TeamBRecordSet, 0, 1) = A967))"),0.0)</f>
        <v>0</v>
      </c>
      <c r="J967" s="2">
        <f t="shared" si="2"/>
        <v>0</v>
      </c>
      <c r="K967" s="2" t="str">
        <f t="shared" si="3"/>
        <v/>
      </c>
    </row>
    <row r="968">
      <c r="A968" s="2"/>
      <c r="B968" s="7"/>
      <c r="D968" s="5" t="str">
        <f>IF(A968 = "", "", COUNTIFS('Game Record'!G:G, A968, 'Game Record'!E:E, C968))</f>
        <v/>
      </c>
      <c r="E968" s="6" t="str">
        <f>IF(A968 = "", "", COUNTIFS('Game Record'!H:H, A968, 'Game Record'!E:E, C968))</f>
        <v/>
      </c>
      <c r="F968" s="2">
        <f t="shared" si="1"/>
        <v>0</v>
      </c>
      <c r="G968" s="1" t="str">
        <f>IF(A968 = "", "", COUNTIF('Game Record'!G:G, A968))</f>
        <v/>
      </c>
      <c r="H968" s="6" t="str">
        <f>IF(A968 = "", "", COUNTIF('Game Record'!H:H, A968))</f>
        <v/>
      </c>
      <c r="I968" s="2">
        <f>IFERROR(__xludf.DUMMYFUNCTION("SUM(FILTER(TeamARecordSet, INDEX(TeamARecordSet, 0, 1) = A968)) + SUM(FILTER(TeamBRecordSet, INDEX(TeamBRecordSet, 0, 1) = A968))"),0.0)</f>
        <v>0</v>
      </c>
      <c r="J968" s="2">
        <f t="shared" si="2"/>
        <v>0</v>
      </c>
      <c r="K968" s="2" t="str">
        <f t="shared" si="3"/>
        <v/>
      </c>
    </row>
    <row r="969">
      <c r="A969" s="2"/>
      <c r="B969" s="7"/>
      <c r="D969" s="5" t="str">
        <f>IF(A969 = "", "", COUNTIFS('Game Record'!G:G, A969, 'Game Record'!E:E, C969))</f>
        <v/>
      </c>
      <c r="E969" s="6" t="str">
        <f>IF(A969 = "", "", COUNTIFS('Game Record'!H:H, A969, 'Game Record'!E:E, C969))</f>
        <v/>
      </c>
      <c r="F969" s="2">
        <f t="shared" si="1"/>
        <v>0</v>
      </c>
      <c r="G969" s="1" t="str">
        <f>IF(A969 = "", "", COUNTIF('Game Record'!G:G, A969))</f>
        <v/>
      </c>
      <c r="H969" s="6" t="str">
        <f>IF(A969 = "", "", COUNTIF('Game Record'!H:H, A969))</f>
        <v/>
      </c>
      <c r="I969" s="2">
        <f>IFERROR(__xludf.DUMMYFUNCTION("SUM(FILTER(TeamARecordSet, INDEX(TeamARecordSet, 0, 1) = A969)) + SUM(FILTER(TeamBRecordSet, INDEX(TeamBRecordSet, 0, 1) = A969))"),0.0)</f>
        <v>0</v>
      </c>
      <c r="J969" s="2">
        <f t="shared" si="2"/>
        <v>0</v>
      </c>
      <c r="K969" s="2" t="str">
        <f t="shared" si="3"/>
        <v/>
      </c>
    </row>
    <row r="970">
      <c r="A970" s="2"/>
      <c r="B970" s="7"/>
      <c r="D970" s="5" t="str">
        <f>IF(A970 = "", "", COUNTIFS('Game Record'!G:G, A970, 'Game Record'!E:E, C970))</f>
        <v/>
      </c>
      <c r="E970" s="6" t="str">
        <f>IF(A970 = "", "", COUNTIFS('Game Record'!H:H, A970, 'Game Record'!E:E, C970))</f>
        <v/>
      </c>
      <c r="F970" s="2">
        <f t="shared" si="1"/>
        <v>0</v>
      </c>
      <c r="G970" s="1" t="str">
        <f>IF(A970 = "", "", COUNTIF('Game Record'!G:G, A970))</f>
        <v/>
      </c>
      <c r="H970" s="6" t="str">
        <f>IF(A970 = "", "", COUNTIF('Game Record'!H:H, A970))</f>
        <v/>
      </c>
      <c r="I970" s="2">
        <f>IFERROR(__xludf.DUMMYFUNCTION("SUM(FILTER(TeamARecordSet, INDEX(TeamARecordSet, 0, 1) = A970)) + SUM(FILTER(TeamBRecordSet, INDEX(TeamBRecordSet, 0, 1) = A970))"),0.0)</f>
        <v>0</v>
      </c>
      <c r="J970" s="2">
        <f t="shared" si="2"/>
        <v>0</v>
      </c>
      <c r="K970" s="2" t="str">
        <f t="shared" si="3"/>
        <v/>
      </c>
    </row>
    <row r="971">
      <c r="A971" s="2"/>
      <c r="B971" s="7"/>
      <c r="D971" s="5" t="str">
        <f>IF(A971 = "", "", COUNTIFS('Game Record'!G:G, A971, 'Game Record'!E:E, C971))</f>
        <v/>
      </c>
      <c r="E971" s="6" t="str">
        <f>IF(A971 = "", "", COUNTIFS('Game Record'!H:H, A971, 'Game Record'!E:E, C971))</f>
        <v/>
      </c>
      <c r="F971" s="2">
        <f t="shared" si="1"/>
        <v>0</v>
      </c>
      <c r="G971" s="1" t="str">
        <f>IF(A971 = "", "", COUNTIF('Game Record'!G:G, A971))</f>
        <v/>
      </c>
      <c r="H971" s="6" t="str">
        <f>IF(A971 = "", "", COUNTIF('Game Record'!H:H, A971))</f>
        <v/>
      </c>
      <c r="I971" s="2">
        <f>IFERROR(__xludf.DUMMYFUNCTION("SUM(FILTER(TeamARecordSet, INDEX(TeamARecordSet, 0, 1) = A971)) + SUM(FILTER(TeamBRecordSet, INDEX(TeamBRecordSet, 0, 1) = A971))"),0.0)</f>
        <v>0</v>
      </c>
      <c r="J971" s="2">
        <f t="shared" si="2"/>
        <v>0</v>
      </c>
      <c r="K971" s="2" t="str">
        <f t="shared" si="3"/>
        <v/>
      </c>
    </row>
    <row r="972">
      <c r="A972" s="2"/>
      <c r="B972" s="7"/>
      <c r="D972" s="5" t="str">
        <f>IF(A972 = "", "", COUNTIFS('Game Record'!G:G, A972, 'Game Record'!E:E, C972))</f>
        <v/>
      </c>
      <c r="E972" s="6" t="str">
        <f>IF(A972 = "", "", COUNTIFS('Game Record'!H:H, A972, 'Game Record'!E:E, C972))</f>
        <v/>
      </c>
      <c r="F972" s="2">
        <f t="shared" si="1"/>
        <v>0</v>
      </c>
      <c r="G972" s="1" t="str">
        <f>IF(A972 = "", "", COUNTIF('Game Record'!G:G, A972))</f>
        <v/>
      </c>
      <c r="H972" s="6" t="str">
        <f>IF(A972 = "", "", COUNTIF('Game Record'!H:H, A972))</f>
        <v/>
      </c>
      <c r="I972" s="2">
        <f>IFERROR(__xludf.DUMMYFUNCTION("SUM(FILTER(TeamARecordSet, INDEX(TeamARecordSet, 0, 1) = A972)) + SUM(FILTER(TeamBRecordSet, INDEX(TeamBRecordSet, 0, 1) = A972))"),0.0)</f>
        <v>0</v>
      </c>
      <c r="J972" s="2">
        <f t="shared" si="2"/>
        <v>0</v>
      </c>
      <c r="K972" s="2" t="str">
        <f t="shared" si="3"/>
        <v/>
      </c>
    </row>
    <row r="973">
      <c r="A973" s="2"/>
      <c r="B973" s="7"/>
      <c r="D973" s="5" t="str">
        <f>IF(A973 = "", "", COUNTIFS('Game Record'!G:G, A973, 'Game Record'!E:E, C973))</f>
        <v/>
      </c>
      <c r="E973" s="6" t="str">
        <f>IF(A973 = "", "", COUNTIFS('Game Record'!H:H, A973, 'Game Record'!E:E, C973))</f>
        <v/>
      </c>
      <c r="F973" s="2">
        <f t="shared" si="1"/>
        <v>0</v>
      </c>
      <c r="G973" s="1" t="str">
        <f>IF(A973 = "", "", COUNTIF('Game Record'!G:G, A973))</f>
        <v/>
      </c>
      <c r="H973" s="6" t="str">
        <f>IF(A973 = "", "", COUNTIF('Game Record'!H:H, A973))</f>
        <v/>
      </c>
      <c r="I973" s="2">
        <f>IFERROR(__xludf.DUMMYFUNCTION("SUM(FILTER(TeamARecordSet, INDEX(TeamARecordSet, 0, 1) = A973)) + SUM(FILTER(TeamBRecordSet, INDEX(TeamBRecordSet, 0, 1) = A973))"),0.0)</f>
        <v>0</v>
      </c>
      <c r="J973" s="2">
        <f t="shared" si="2"/>
        <v>0</v>
      </c>
      <c r="K973" s="2" t="str">
        <f t="shared" si="3"/>
        <v/>
      </c>
    </row>
    <row r="974">
      <c r="A974" s="2"/>
      <c r="B974" s="7"/>
      <c r="D974" s="5" t="str">
        <f>IF(A974 = "", "", COUNTIFS('Game Record'!G:G, A974, 'Game Record'!E:E, C974))</f>
        <v/>
      </c>
      <c r="E974" s="6" t="str">
        <f>IF(A974 = "", "", COUNTIFS('Game Record'!H:H, A974, 'Game Record'!E:E, C974))</f>
        <v/>
      </c>
      <c r="F974" s="2">
        <f t="shared" si="1"/>
        <v>0</v>
      </c>
      <c r="G974" s="1" t="str">
        <f>IF(A974 = "", "", COUNTIF('Game Record'!G:G, A974))</f>
        <v/>
      </c>
      <c r="H974" s="6" t="str">
        <f>IF(A974 = "", "", COUNTIF('Game Record'!H:H, A974))</f>
        <v/>
      </c>
      <c r="I974" s="2">
        <f>IFERROR(__xludf.DUMMYFUNCTION("SUM(FILTER(TeamARecordSet, INDEX(TeamARecordSet, 0, 1) = A974)) + SUM(FILTER(TeamBRecordSet, INDEX(TeamBRecordSet, 0, 1) = A974))"),0.0)</f>
        <v>0</v>
      </c>
      <c r="J974" s="2">
        <f t="shared" si="2"/>
        <v>0</v>
      </c>
      <c r="K974" s="2" t="str">
        <f t="shared" si="3"/>
        <v/>
      </c>
    </row>
    <row r="975">
      <c r="A975" s="2"/>
      <c r="B975" s="7"/>
      <c r="D975" s="5" t="str">
        <f>IF(A975 = "", "", COUNTIFS('Game Record'!G:G, A975, 'Game Record'!E:E, C975))</f>
        <v/>
      </c>
      <c r="E975" s="6" t="str">
        <f>IF(A975 = "", "", COUNTIFS('Game Record'!H:H, A975, 'Game Record'!E:E, C975))</f>
        <v/>
      </c>
      <c r="F975" s="2">
        <f t="shared" si="1"/>
        <v>0</v>
      </c>
      <c r="G975" s="1" t="str">
        <f>IF(A975 = "", "", COUNTIF('Game Record'!G:G, A975))</f>
        <v/>
      </c>
      <c r="H975" s="6" t="str">
        <f>IF(A975 = "", "", COUNTIF('Game Record'!H:H, A975))</f>
        <v/>
      </c>
      <c r="I975" s="2">
        <f>IFERROR(__xludf.DUMMYFUNCTION("SUM(FILTER(TeamARecordSet, INDEX(TeamARecordSet, 0, 1) = A975)) + SUM(FILTER(TeamBRecordSet, INDEX(TeamBRecordSet, 0, 1) = A975))"),0.0)</f>
        <v>0</v>
      </c>
      <c r="J975" s="2">
        <f t="shared" si="2"/>
        <v>0</v>
      </c>
      <c r="K975" s="2" t="str">
        <f t="shared" si="3"/>
        <v/>
      </c>
    </row>
    <row r="976">
      <c r="A976" s="2"/>
      <c r="B976" s="7"/>
      <c r="D976" s="5" t="str">
        <f>IF(A976 = "", "", COUNTIFS('Game Record'!G:G, A976, 'Game Record'!E:E, C976))</f>
        <v/>
      </c>
      <c r="E976" s="6" t="str">
        <f>IF(A976 = "", "", COUNTIFS('Game Record'!H:H, A976, 'Game Record'!E:E, C976))</f>
        <v/>
      </c>
      <c r="F976" s="2">
        <f t="shared" si="1"/>
        <v>0</v>
      </c>
      <c r="G976" s="1" t="str">
        <f>IF(A976 = "", "", COUNTIF('Game Record'!G:G, A976))</f>
        <v/>
      </c>
      <c r="H976" s="6" t="str">
        <f>IF(A976 = "", "", COUNTIF('Game Record'!H:H, A976))</f>
        <v/>
      </c>
      <c r="I976" s="2">
        <f>IFERROR(__xludf.DUMMYFUNCTION("SUM(FILTER(TeamARecordSet, INDEX(TeamARecordSet, 0, 1) = A976)) + SUM(FILTER(TeamBRecordSet, INDEX(TeamBRecordSet, 0, 1) = A976))"),0.0)</f>
        <v>0</v>
      </c>
      <c r="J976" s="2">
        <f t="shared" si="2"/>
        <v>0</v>
      </c>
      <c r="K976" s="2" t="str">
        <f t="shared" si="3"/>
        <v/>
      </c>
    </row>
    <row r="977">
      <c r="A977" s="2"/>
      <c r="B977" s="7"/>
      <c r="D977" s="5" t="str">
        <f>IF(A977 = "", "", COUNTIFS('Game Record'!G:G, A977, 'Game Record'!E:E, C977))</f>
        <v/>
      </c>
      <c r="E977" s="6" t="str">
        <f>IF(A977 = "", "", COUNTIFS('Game Record'!H:H, A977, 'Game Record'!E:E, C977))</f>
        <v/>
      </c>
      <c r="F977" s="2">
        <f t="shared" si="1"/>
        <v>0</v>
      </c>
      <c r="G977" s="1" t="str">
        <f>IF(A977 = "", "", COUNTIF('Game Record'!G:G, A977))</f>
        <v/>
      </c>
      <c r="H977" s="6" t="str">
        <f>IF(A977 = "", "", COUNTIF('Game Record'!H:H, A977))</f>
        <v/>
      </c>
      <c r="I977" s="2">
        <f>IFERROR(__xludf.DUMMYFUNCTION("SUM(FILTER(TeamARecordSet, INDEX(TeamARecordSet, 0, 1) = A977)) + SUM(FILTER(TeamBRecordSet, INDEX(TeamBRecordSet, 0, 1) = A977))"),0.0)</f>
        <v>0</v>
      </c>
      <c r="J977" s="2">
        <f t="shared" si="2"/>
        <v>0</v>
      </c>
      <c r="K977" s="2" t="str">
        <f t="shared" si="3"/>
        <v/>
      </c>
    </row>
    <row r="978">
      <c r="A978" s="2"/>
      <c r="B978" s="7"/>
      <c r="D978" s="5" t="str">
        <f>IF(A978 = "", "", COUNTIFS('Game Record'!G:G, A978, 'Game Record'!E:E, C978))</f>
        <v/>
      </c>
      <c r="E978" s="6" t="str">
        <f>IF(A978 = "", "", COUNTIFS('Game Record'!H:H, A978, 'Game Record'!E:E, C978))</f>
        <v/>
      </c>
      <c r="F978" s="2">
        <f t="shared" si="1"/>
        <v>0</v>
      </c>
      <c r="G978" s="1" t="str">
        <f>IF(A978 = "", "", COUNTIF('Game Record'!G:G, A978))</f>
        <v/>
      </c>
      <c r="H978" s="6" t="str">
        <f>IF(A978 = "", "", COUNTIF('Game Record'!H:H, A978))</f>
        <v/>
      </c>
      <c r="I978" s="2">
        <f>IFERROR(__xludf.DUMMYFUNCTION("SUM(FILTER(TeamARecordSet, INDEX(TeamARecordSet, 0, 1) = A978)) + SUM(FILTER(TeamBRecordSet, INDEX(TeamBRecordSet, 0, 1) = A978))"),0.0)</f>
        <v>0</v>
      </c>
      <c r="J978" s="2">
        <f t="shared" si="2"/>
        <v>0</v>
      </c>
      <c r="K978" s="2" t="str">
        <f t="shared" si="3"/>
        <v/>
      </c>
    </row>
    <row r="979">
      <c r="A979" s="2"/>
      <c r="B979" s="7"/>
      <c r="D979" s="5" t="str">
        <f>IF(A979 = "", "", COUNTIFS('Game Record'!G:G, A979, 'Game Record'!E:E, C979))</f>
        <v/>
      </c>
      <c r="E979" s="6" t="str">
        <f>IF(A979 = "", "", COUNTIFS('Game Record'!H:H, A979, 'Game Record'!E:E, C979))</f>
        <v/>
      </c>
      <c r="F979" s="2">
        <f t="shared" si="1"/>
        <v>0</v>
      </c>
      <c r="G979" s="1" t="str">
        <f>IF(A979 = "", "", COUNTIF('Game Record'!G:G, A979))</f>
        <v/>
      </c>
      <c r="H979" s="6" t="str">
        <f>IF(A979 = "", "", COUNTIF('Game Record'!H:H, A979))</f>
        <v/>
      </c>
      <c r="I979" s="2">
        <f>IFERROR(__xludf.DUMMYFUNCTION("SUM(FILTER(TeamARecordSet, INDEX(TeamARecordSet, 0, 1) = A979)) + SUM(FILTER(TeamBRecordSet, INDEX(TeamBRecordSet, 0, 1) = A979))"),0.0)</f>
        <v>0</v>
      </c>
      <c r="J979" s="2">
        <f t="shared" si="2"/>
        <v>0</v>
      </c>
      <c r="K979" s="2" t="str">
        <f t="shared" si="3"/>
        <v/>
      </c>
    </row>
    <row r="980">
      <c r="A980" s="2"/>
      <c r="B980" s="7"/>
      <c r="D980" s="5" t="str">
        <f>IF(A980 = "", "", COUNTIFS('Game Record'!G:G, A980, 'Game Record'!E:E, C980))</f>
        <v/>
      </c>
      <c r="E980" s="6" t="str">
        <f>IF(A980 = "", "", COUNTIFS('Game Record'!H:H, A980, 'Game Record'!E:E, C980))</f>
        <v/>
      </c>
      <c r="F980" s="2">
        <f t="shared" si="1"/>
        <v>0</v>
      </c>
      <c r="G980" s="1" t="str">
        <f>IF(A980 = "", "", COUNTIF('Game Record'!G:G, A980))</f>
        <v/>
      </c>
      <c r="H980" s="6" t="str">
        <f>IF(A980 = "", "", COUNTIF('Game Record'!H:H, A980))</f>
        <v/>
      </c>
      <c r="I980" s="2">
        <f>IFERROR(__xludf.DUMMYFUNCTION("SUM(FILTER(TeamARecordSet, INDEX(TeamARecordSet, 0, 1) = A980)) + SUM(FILTER(TeamBRecordSet, INDEX(TeamBRecordSet, 0, 1) = A980))"),0.0)</f>
        <v>0</v>
      </c>
      <c r="J980" s="2">
        <f t="shared" si="2"/>
        <v>0</v>
      </c>
      <c r="K980" s="2" t="str">
        <f t="shared" si="3"/>
        <v/>
      </c>
    </row>
    <row r="981">
      <c r="A981" s="2"/>
      <c r="B981" s="7"/>
      <c r="D981" s="5" t="str">
        <f>IF(A981 = "", "", COUNTIFS('Game Record'!G:G, A981, 'Game Record'!E:E, C981))</f>
        <v/>
      </c>
      <c r="E981" s="6" t="str">
        <f>IF(A981 = "", "", COUNTIFS('Game Record'!H:H, A981, 'Game Record'!E:E, C981))</f>
        <v/>
      </c>
      <c r="F981" s="2">
        <f t="shared" si="1"/>
        <v>0</v>
      </c>
      <c r="G981" s="1" t="str">
        <f>IF(A981 = "", "", COUNTIF('Game Record'!G:G, A981))</f>
        <v/>
      </c>
      <c r="H981" s="6" t="str">
        <f>IF(A981 = "", "", COUNTIF('Game Record'!H:H, A981))</f>
        <v/>
      </c>
      <c r="I981" s="2">
        <f>IFERROR(__xludf.DUMMYFUNCTION("SUM(FILTER(TeamARecordSet, INDEX(TeamARecordSet, 0, 1) = A981)) + SUM(FILTER(TeamBRecordSet, INDEX(TeamBRecordSet, 0, 1) = A981))"),0.0)</f>
        <v>0</v>
      </c>
      <c r="J981" s="2">
        <f t="shared" si="2"/>
        <v>0</v>
      </c>
      <c r="K981" s="2" t="str">
        <f t="shared" si="3"/>
        <v/>
      </c>
    </row>
    <row r="982">
      <c r="A982" s="2"/>
      <c r="B982" s="7"/>
      <c r="D982" s="5" t="str">
        <f>IF(A982 = "", "", COUNTIFS('Game Record'!G:G, A982, 'Game Record'!E:E, C982))</f>
        <v/>
      </c>
      <c r="E982" s="6" t="str">
        <f>IF(A982 = "", "", COUNTIFS('Game Record'!H:H, A982, 'Game Record'!E:E, C982))</f>
        <v/>
      </c>
      <c r="F982" s="2">
        <f t="shared" si="1"/>
        <v>0</v>
      </c>
      <c r="G982" s="1" t="str">
        <f>IF(A982 = "", "", COUNTIF('Game Record'!G:G, A982))</f>
        <v/>
      </c>
      <c r="H982" s="6" t="str">
        <f>IF(A982 = "", "", COUNTIF('Game Record'!H:H, A982))</f>
        <v/>
      </c>
      <c r="I982" s="2">
        <f>IFERROR(__xludf.DUMMYFUNCTION("SUM(FILTER(TeamARecordSet, INDEX(TeamARecordSet, 0, 1) = A982)) + SUM(FILTER(TeamBRecordSet, INDEX(TeamBRecordSet, 0, 1) = A982))"),0.0)</f>
        <v>0</v>
      </c>
      <c r="J982" s="2">
        <f t="shared" si="2"/>
        <v>0</v>
      </c>
      <c r="K982" s="2" t="str">
        <f t="shared" si="3"/>
        <v/>
      </c>
    </row>
    <row r="983">
      <c r="A983" s="2"/>
      <c r="B983" s="7"/>
      <c r="D983" s="5" t="str">
        <f>IF(A983 = "", "", COUNTIFS('Game Record'!G:G, A983, 'Game Record'!E:E, C983))</f>
        <v/>
      </c>
      <c r="E983" s="6" t="str">
        <f>IF(A983 = "", "", COUNTIFS('Game Record'!H:H, A983, 'Game Record'!E:E, C983))</f>
        <v/>
      </c>
      <c r="F983" s="2">
        <f t="shared" si="1"/>
        <v>0</v>
      </c>
      <c r="G983" s="1" t="str">
        <f>IF(A983 = "", "", COUNTIF('Game Record'!G:G, A983))</f>
        <v/>
      </c>
      <c r="H983" s="6" t="str">
        <f>IF(A983 = "", "", COUNTIF('Game Record'!H:H, A983))</f>
        <v/>
      </c>
      <c r="I983" s="2">
        <f>IFERROR(__xludf.DUMMYFUNCTION("SUM(FILTER(TeamARecordSet, INDEX(TeamARecordSet, 0, 1) = A983)) + SUM(FILTER(TeamBRecordSet, INDEX(TeamBRecordSet, 0, 1) = A983))"),0.0)</f>
        <v>0</v>
      </c>
      <c r="J983" s="2">
        <f t="shared" si="2"/>
        <v>0</v>
      </c>
      <c r="K983" s="2" t="str">
        <f t="shared" si="3"/>
        <v/>
      </c>
    </row>
    <row r="984">
      <c r="A984" s="2"/>
      <c r="B984" s="7"/>
      <c r="D984" s="5" t="str">
        <f>IF(A984 = "", "", COUNTIFS('Game Record'!G:G, A984, 'Game Record'!E:E, C984))</f>
        <v/>
      </c>
      <c r="E984" s="6" t="str">
        <f>IF(A984 = "", "", COUNTIFS('Game Record'!H:H, A984, 'Game Record'!E:E, C984))</f>
        <v/>
      </c>
      <c r="F984" s="2">
        <f t="shared" si="1"/>
        <v>0</v>
      </c>
      <c r="G984" s="1" t="str">
        <f>IF(A984 = "", "", COUNTIF('Game Record'!G:G, A984))</f>
        <v/>
      </c>
      <c r="H984" s="6" t="str">
        <f>IF(A984 = "", "", COUNTIF('Game Record'!H:H, A984))</f>
        <v/>
      </c>
      <c r="I984" s="2">
        <f>IFERROR(__xludf.DUMMYFUNCTION("SUM(FILTER(TeamARecordSet, INDEX(TeamARecordSet, 0, 1) = A984)) + SUM(FILTER(TeamBRecordSet, INDEX(TeamBRecordSet, 0, 1) = A984))"),0.0)</f>
        <v>0</v>
      </c>
      <c r="J984" s="2">
        <f t="shared" si="2"/>
        <v>0</v>
      </c>
      <c r="K984" s="2" t="str">
        <f t="shared" si="3"/>
        <v/>
      </c>
    </row>
    <row r="985">
      <c r="A985" s="2"/>
      <c r="B985" s="7"/>
      <c r="D985" s="5" t="str">
        <f>IF(A985 = "", "", COUNTIFS('Game Record'!G:G, A985, 'Game Record'!E:E, C985))</f>
        <v/>
      </c>
      <c r="E985" s="6" t="str">
        <f>IF(A985 = "", "", COUNTIFS('Game Record'!H:H, A985, 'Game Record'!E:E, C985))</f>
        <v/>
      </c>
      <c r="F985" s="2">
        <f t="shared" si="1"/>
        <v>0</v>
      </c>
      <c r="G985" s="1" t="str">
        <f>IF(A985 = "", "", COUNTIF('Game Record'!G:G, A985))</f>
        <v/>
      </c>
      <c r="H985" s="6" t="str">
        <f>IF(A985 = "", "", COUNTIF('Game Record'!H:H, A985))</f>
        <v/>
      </c>
      <c r="I985" s="2">
        <f>IFERROR(__xludf.DUMMYFUNCTION("SUM(FILTER(TeamARecordSet, INDEX(TeamARecordSet, 0, 1) = A985)) + SUM(FILTER(TeamBRecordSet, INDEX(TeamBRecordSet, 0, 1) = A985))"),0.0)</f>
        <v>0</v>
      </c>
      <c r="J985" s="2">
        <f t="shared" si="2"/>
        <v>0</v>
      </c>
      <c r="K985" s="2" t="str">
        <f t="shared" si="3"/>
        <v/>
      </c>
    </row>
    <row r="986">
      <c r="A986" s="2"/>
      <c r="B986" s="7"/>
      <c r="D986" s="5" t="str">
        <f>IF(A986 = "", "", COUNTIFS('Game Record'!G:G, A986, 'Game Record'!E:E, C986))</f>
        <v/>
      </c>
      <c r="E986" s="6" t="str">
        <f>IF(A986 = "", "", COUNTIFS('Game Record'!H:H, A986, 'Game Record'!E:E, C986))</f>
        <v/>
      </c>
      <c r="F986" s="2">
        <f t="shared" si="1"/>
        <v>0</v>
      </c>
      <c r="G986" s="1" t="str">
        <f>IF(A986 = "", "", COUNTIF('Game Record'!G:G, A986))</f>
        <v/>
      </c>
      <c r="H986" s="6" t="str">
        <f>IF(A986 = "", "", COUNTIF('Game Record'!H:H, A986))</f>
        <v/>
      </c>
      <c r="I986" s="2">
        <f>IFERROR(__xludf.DUMMYFUNCTION("SUM(FILTER(TeamARecordSet, INDEX(TeamARecordSet, 0, 1) = A986)) + SUM(FILTER(TeamBRecordSet, INDEX(TeamBRecordSet, 0, 1) = A986))"),0.0)</f>
        <v>0</v>
      </c>
      <c r="J986" s="2">
        <f t="shared" si="2"/>
        <v>0</v>
      </c>
      <c r="K986" s="2" t="str">
        <f t="shared" si="3"/>
        <v/>
      </c>
    </row>
    <row r="987">
      <c r="A987" s="2"/>
      <c r="B987" s="7"/>
      <c r="D987" s="5" t="str">
        <f>IF(A987 = "", "", COUNTIFS('Game Record'!G:G, A987, 'Game Record'!E:E, C987))</f>
        <v/>
      </c>
      <c r="E987" s="6" t="str">
        <f>IF(A987 = "", "", COUNTIFS('Game Record'!H:H, A987, 'Game Record'!E:E, C987))</f>
        <v/>
      </c>
      <c r="F987" s="2">
        <f t="shared" si="1"/>
        <v>0</v>
      </c>
      <c r="G987" s="1" t="str">
        <f>IF(A987 = "", "", COUNTIF('Game Record'!G:G, A987))</f>
        <v/>
      </c>
      <c r="H987" s="6" t="str">
        <f>IF(A987 = "", "", COUNTIF('Game Record'!H:H, A987))</f>
        <v/>
      </c>
      <c r="I987" s="2">
        <f>IFERROR(__xludf.DUMMYFUNCTION("SUM(FILTER(TeamARecordSet, INDEX(TeamARecordSet, 0, 1) = A987)) + SUM(FILTER(TeamBRecordSet, INDEX(TeamBRecordSet, 0, 1) = A987))"),0.0)</f>
        <v>0</v>
      </c>
      <c r="J987" s="2">
        <f t="shared" si="2"/>
        <v>0</v>
      </c>
      <c r="K987" s="2" t="str">
        <f t="shared" si="3"/>
        <v/>
      </c>
    </row>
    <row r="988">
      <c r="A988" s="2"/>
      <c r="B988" s="7"/>
      <c r="D988" s="5" t="str">
        <f>IF(A988 = "", "", COUNTIFS('Game Record'!G:G, A988, 'Game Record'!E:E, C988))</f>
        <v/>
      </c>
      <c r="E988" s="6" t="str">
        <f>IF(A988 = "", "", COUNTIFS('Game Record'!H:H, A988, 'Game Record'!E:E, C988))</f>
        <v/>
      </c>
      <c r="F988" s="2">
        <f t="shared" si="1"/>
        <v>0</v>
      </c>
      <c r="G988" s="1" t="str">
        <f>IF(A988 = "", "", COUNTIF('Game Record'!G:G, A988))</f>
        <v/>
      </c>
      <c r="H988" s="6" t="str">
        <f>IF(A988 = "", "", COUNTIF('Game Record'!H:H, A988))</f>
        <v/>
      </c>
      <c r="I988" s="2">
        <f>IFERROR(__xludf.DUMMYFUNCTION("SUM(FILTER(TeamARecordSet, INDEX(TeamARecordSet, 0, 1) = A988)) + SUM(FILTER(TeamBRecordSet, INDEX(TeamBRecordSet, 0, 1) = A988))"),0.0)</f>
        <v>0</v>
      </c>
      <c r="J988" s="2">
        <f t="shared" si="2"/>
        <v>0</v>
      </c>
      <c r="K988" s="2" t="str">
        <f t="shared" si="3"/>
        <v/>
      </c>
    </row>
    <row r="989">
      <c r="A989" s="2"/>
      <c r="B989" s="7"/>
      <c r="D989" s="5" t="str">
        <f>IF(A989 = "", "", COUNTIFS('Game Record'!G:G, A989, 'Game Record'!E:E, C989))</f>
        <v/>
      </c>
      <c r="E989" s="6" t="str">
        <f>IF(A989 = "", "", COUNTIFS('Game Record'!H:H, A989, 'Game Record'!E:E, C989))</f>
        <v/>
      </c>
      <c r="F989" s="2">
        <f t="shared" si="1"/>
        <v>0</v>
      </c>
      <c r="G989" s="1" t="str">
        <f>IF(A989 = "", "", COUNTIF('Game Record'!G:G, A989))</f>
        <v/>
      </c>
      <c r="H989" s="6" t="str">
        <f>IF(A989 = "", "", COUNTIF('Game Record'!H:H, A989))</f>
        <v/>
      </c>
      <c r="I989" s="2">
        <f>IFERROR(__xludf.DUMMYFUNCTION("SUM(FILTER(TeamARecordSet, INDEX(TeamARecordSet, 0, 1) = A989)) + SUM(FILTER(TeamBRecordSet, INDEX(TeamBRecordSet, 0, 1) = A989))"),0.0)</f>
        <v>0</v>
      </c>
      <c r="J989" s="2">
        <f t="shared" si="2"/>
        <v>0</v>
      </c>
      <c r="K989" s="2" t="str">
        <f t="shared" si="3"/>
        <v/>
      </c>
    </row>
    <row r="990">
      <c r="A990" s="2"/>
      <c r="B990" s="7"/>
      <c r="D990" s="5" t="str">
        <f>IF(A990 = "", "", COUNTIFS('Game Record'!G:G, A990, 'Game Record'!E:E, C990))</f>
        <v/>
      </c>
      <c r="E990" s="6" t="str">
        <f>IF(A990 = "", "", COUNTIFS('Game Record'!H:H, A990, 'Game Record'!E:E, C990))</f>
        <v/>
      </c>
      <c r="F990" s="2">
        <f t="shared" si="1"/>
        <v>0</v>
      </c>
      <c r="G990" s="1" t="str">
        <f>IF(A990 = "", "", COUNTIF('Game Record'!G:G, A990))</f>
        <v/>
      </c>
      <c r="H990" s="6" t="str">
        <f>IF(A990 = "", "", COUNTIF('Game Record'!H:H, A990))</f>
        <v/>
      </c>
      <c r="I990" s="2">
        <f>IFERROR(__xludf.DUMMYFUNCTION("SUM(FILTER(TeamARecordSet, INDEX(TeamARecordSet, 0, 1) = A990)) + SUM(FILTER(TeamBRecordSet, INDEX(TeamBRecordSet, 0, 1) = A990))"),0.0)</f>
        <v>0</v>
      </c>
      <c r="J990" s="2">
        <f t="shared" si="2"/>
        <v>0</v>
      </c>
      <c r="K990" s="2" t="str">
        <f t="shared" si="3"/>
        <v/>
      </c>
    </row>
    <row r="991">
      <c r="A991" s="2"/>
      <c r="B991" s="7"/>
      <c r="D991" s="5" t="str">
        <f>IF(A991 = "", "", COUNTIFS('Game Record'!G:G, A991, 'Game Record'!E:E, C991))</f>
        <v/>
      </c>
      <c r="E991" s="6" t="str">
        <f>IF(A991 = "", "", COUNTIFS('Game Record'!H:H, A991, 'Game Record'!E:E, C991))</f>
        <v/>
      </c>
      <c r="F991" s="2">
        <f t="shared" si="1"/>
        <v>0</v>
      </c>
      <c r="G991" s="1" t="str">
        <f>IF(A991 = "", "", COUNTIF('Game Record'!G:G, A991))</f>
        <v/>
      </c>
      <c r="H991" s="6" t="str">
        <f>IF(A991 = "", "", COUNTIF('Game Record'!H:H, A991))</f>
        <v/>
      </c>
      <c r="I991" s="2">
        <f>IFERROR(__xludf.DUMMYFUNCTION("SUM(FILTER(TeamARecordSet, INDEX(TeamARecordSet, 0, 1) = A991)) + SUM(FILTER(TeamBRecordSet, INDEX(TeamBRecordSet, 0, 1) = A991))"),0.0)</f>
        <v>0</v>
      </c>
      <c r="J991" s="2">
        <f t="shared" si="2"/>
        <v>0</v>
      </c>
      <c r="K991" s="2" t="str">
        <f t="shared" si="3"/>
        <v/>
      </c>
    </row>
    <row r="992">
      <c r="A992" s="2"/>
      <c r="B992" s="7"/>
      <c r="D992" s="5" t="str">
        <f>IF(A992 = "", "", COUNTIFS('Game Record'!G:G, A992, 'Game Record'!E:E, C992))</f>
        <v/>
      </c>
      <c r="E992" s="6" t="str">
        <f>IF(A992 = "", "", COUNTIFS('Game Record'!H:H, A992, 'Game Record'!E:E, C992))</f>
        <v/>
      </c>
      <c r="F992" s="2">
        <f t="shared" si="1"/>
        <v>0</v>
      </c>
      <c r="G992" s="1" t="str">
        <f>IF(A992 = "", "", COUNTIF('Game Record'!G:G, A992))</f>
        <v/>
      </c>
      <c r="H992" s="6" t="str">
        <f>IF(A992 = "", "", COUNTIF('Game Record'!H:H, A992))</f>
        <v/>
      </c>
      <c r="I992" s="2">
        <f>IFERROR(__xludf.DUMMYFUNCTION("SUM(FILTER(TeamARecordSet, INDEX(TeamARecordSet, 0, 1) = A992)) + SUM(FILTER(TeamBRecordSet, INDEX(TeamBRecordSet, 0, 1) = A992))"),0.0)</f>
        <v>0</v>
      </c>
      <c r="J992" s="2">
        <f t="shared" si="2"/>
        <v>0</v>
      </c>
      <c r="K992" s="2" t="str">
        <f t="shared" si="3"/>
        <v/>
      </c>
    </row>
    <row r="993">
      <c r="A993" s="2"/>
      <c r="B993" s="7"/>
      <c r="D993" s="5" t="str">
        <f>IF(A993 = "", "", COUNTIFS('Game Record'!G:G, A993, 'Game Record'!E:E, C993))</f>
        <v/>
      </c>
      <c r="E993" s="6" t="str">
        <f>IF(A993 = "", "", COUNTIFS('Game Record'!H:H, A993, 'Game Record'!E:E, C993))</f>
        <v/>
      </c>
      <c r="F993" s="2">
        <f t="shared" si="1"/>
        <v>0</v>
      </c>
      <c r="G993" s="1" t="str">
        <f>IF(A993 = "", "", COUNTIF('Game Record'!G:G, A993))</f>
        <v/>
      </c>
      <c r="H993" s="6" t="str">
        <f>IF(A993 = "", "", COUNTIF('Game Record'!H:H, A993))</f>
        <v/>
      </c>
      <c r="I993" s="2">
        <f>IFERROR(__xludf.DUMMYFUNCTION("SUM(FILTER(TeamARecordSet, INDEX(TeamARecordSet, 0, 1) = A993)) + SUM(FILTER(TeamBRecordSet, INDEX(TeamBRecordSet, 0, 1) = A993))"),0.0)</f>
        <v>0</v>
      </c>
      <c r="J993" s="2">
        <f t="shared" si="2"/>
        <v>0</v>
      </c>
      <c r="K993" s="2" t="str">
        <f t="shared" si="3"/>
        <v/>
      </c>
    </row>
    <row r="994">
      <c r="A994" s="2"/>
      <c r="B994" s="7"/>
      <c r="D994" s="5" t="str">
        <f>IF(A994 = "", "", COUNTIFS('Game Record'!G:G, A994, 'Game Record'!E:E, C994))</f>
        <v/>
      </c>
      <c r="E994" s="6" t="str">
        <f>IF(A994 = "", "", COUNTIFS('Game Record'!H:H, A994, 'Game Record'!E:E, C994))</f>
        <v/>
      </c>
      <c r="F994" s="2">
        <f t="shared" si="1"/>
        <v>0</v>
      </c>
      <c r="G994" s="1" t="str">
        <f>IF(A994 = "", "", COUNTIF('Game Record'!G:G, A994))</f>
        <v/>
      </c>
      <c r="H994" s="6" t="str">
        <f>IF(A994 = "", "", COUNTIF('Game Record'!H:H, A994))</f>
        <v/>
      </c>
      <c r="I994" s="2">
        <f>IFERROR(__xludf.DUMMYFUNCTION("SUM(FILTER(TeamARecordSet, INDEX(TeamARecordSet, 0, 1) = A994)) + SUM(FILTER(TeamBRecordSet, INDEX(TeamBRecordSet, 0, 1) = A994))"),0.0)</f>
        <v>0</v>
      </c>
      <c r="J994" s="2">
        <f t="shared" si="2"/>
        <v>0</v>
      </c>
      <c r="K994" s="2" t="str">
        <f t="shared" si="3"/>
        <v/>
      </c>
    </row>
    <row r="995">
      <c r="A995" s="2"/>
      <c r="B995" s="7"/>
      <c r="D995" s="5" t="str">
        <f>IF(A995 = "", "", COUNTIFS('Game Record'!G:G, A995, 'Game Record'!E:E, C995))</f>
        <v/>
      </c>
      <c r="E995" s="6" t="str">
        <f>IF(A995 = "", "", COUNTIFS('Game Record'!H:H, A995, 'Game Record'!E:E, C995))</f>
        <v/>
      </c>
      <c r="F995" s="2">
        <f t="shared" si="1"/>
        <v>0</v>
      </c>
      <c r="G995" s="1" t="str">
        <f>IF(A995 = "", "", COUNTIF('Game Record'!G:G, A995))</f>
        <v/>
      </c>
      <c r="H995" s="6" t="str">
        <f>IF(A995 = "", "", COUNTIF('Game Record'!H:H, A995))</f>
        <v/>
      </c>
      <c r="I995" s="2">
        <f>IFERROR(__xludf.DUMMYFUNCTION("SUM(FILTER(TeamARecordSet, INDEX(TeamARecordSet, 0, 1) = A995)) + SUM(FILTER(TeamBRecordSet, INDEX(TeamBRecordSet, 0, 1) = A995))"),0.0)</f>
        <v>0</v>
      </c>
      <c r="J995" s="2">
        <f t="shared" si="2"/>
        <v>0</v>
      </c>
      <c r="K995" s="2" t="str">
        <f t="shared" si="3"/>
        <v/>
      </c>
    </row>
    <row r="996">
      <c r="A996" s="2"/>
      <c r="B996" s="7"/>
      <c r="D996" s="5" t="str">
        <f>IF(A996 = "", "", COUNTIFS('Game Record'!G:G, A996, 'Game Record'!E:E, C996))</f>
        <v/>
      </c>
      <c r="E996" s="6" t="str">
        <f>IF(A996 = "", "", COUNTIFS('Game Record'!H:H, A996, 'Game Record'!E:E, C996))</f>
        <v/>
      </c>
      <c r="F996" s="2">
        <f t="shared" si="1"/>
        <v>0</v>
      </c>
      <c r="G996" s="1" t="str">
        <f>IF(A996 = "", "", COUNTIF('Game Record'!G:G, A996))</f>
        <v/>
      </c>
      <c r="H996" s="6" t="str">
        <f>IF(A996 = "", "", COUNTIF('Game Record'!H:H, A996))</f>
        <v/>
      </c>
      <c r="I996" s="2">
        <f>IFERROR(__xludf.DUMMYFUNCTION("SUM(FILTER(TeamARecordSet, INDEX(TeamARecordSet, 0, 1) = A996)) + SUM(FILTER(TeamBRecordSet, INDEX(TeamBRecordSet, 0, 1) = A996))"),0.0)</f>
        <v>0</v>
      </c>
      <c r="J996" s="2">
        <f t="shared" si="2"/>
        <v>0</v>
      </c>
      <c r="K996" s="2" t="str">
        <f t="shared" si="3"/>
        <v/>
      </c>
    </row>
    <row r="997">
      <c r="A997" s="2"/>
      <c r="B997" s="7"/>
      <c r="D997" s="5" t="str">
        <f>IF(A997 = "", "", COUNTIFS('Game Record'!G:G, A997, 'Game Record'!E:E, C997))</f>
        <v/>
      </c>
      <c r="E997" s="6" t="str">
        <f>IF(A997 = "", "", COUNTIFS('Game Record'!H:H, A997, 'Game Record'!E:E, C997))</f>
        <v/>
      </c>
      <c r="F997" s="2">
        <f t="shared" si="1"/>
        <v>0</v>
      </c>
      <c r="G997" s="1" t="str">
        <f>IF(A997 = "", "", COUNTIF('Game Record'!G:G, A997))</f>
        <v/>
      </c>
      <c r="H997" s="6" t="str">
        <f>IF(A997 = "", "", COUNTIF('Game Record'!H:H, A997))</f>
        <v/>
      </c>
      <c r="I997" s="2">
        <f>IFERROR(__xludf.DUMMYFUNCTION("SUM(FILTER(TeamARecordSet, INDEX(TeamARecordSet, 0, 1) = A997)) + SUM(FILTER(TeamBRecordSet, INDEX(TeamBRecordSet, 0, 1) = A997))"),0.0)</f>
        <v>0</v>
      </c>
      <c r="J997" s="2">
        <f t="shared" si="2"/>
        <v>0</v>
      </c>
      <c r="K997" s="2" t="str">
        <f t="shared" si="3"/>
        <v/>
      </c>
    </row>
    <row r="998">
      <c r="A998" s="2"/>
      <c r="B998" s="7"/>
      <c r="D998" s="5" t="str">
        <f>IF(A998 = "", "", COUNTIFS('Game Record'!G:G, A998, 'Game Record'!E:E, C998))</f>
        <v/>
      </c>
      <c r="E998" s="6" t="str">
        <f>IF(A998 = "", "", COUNTIFS('Game Record'!H:H, A998, 'Game Record'!E:E, C998))</f>
        <v/>
      </c>
      <c r="F998" s="2">
        <f t="shared" si="1"/>
        <v>0</v>
      </c>
      <c r="G998" s="1" t="str">
        <f>IF(A998 = "", "", COUNTIF('Game Record'!G:G, A998))</f>
        <v/>
      </c>
      <c r="H998" s="6" t="str">
        <f>IF(A998 = "", "", COUNTIF('Game Record'!H:H, A998))</f>
        <v/>
      </c>
      <c r="I998" s="2">
        <f>IFERROR(__xludf.DUMMYFUNCTION("SUM(FILTER(TeamARecordSet, INDEX(TeamARecordSet, 0, 1) = A998)) + SUM(FILTER(TeamBRecordSet, INDEX(TeamBRecordSet, 0, 1) = A998))"),0.0)</f>
        <v>0</v>
      </c>
      <c r="J998" s="2">
        <f t="shared" si="2"/>
        <v>0</v>
      </c>
      <c r="K998" s="2" t="str">
        <f t="shared" si="3"/>
        <v/>
      </c>
    </row>
    <row r="999">
      <c r="A999" s="2"/>
      <c r="B999" s="7"/>
      <c r="D999" s="5" t="str">
        <f>IF(A999 = "", "", COUNTIFS('Game Record'!G:G, A999, 'Game Record'!E:E, C999))</f>
        <v/>
      </c>
      <c r="E999" s="6" t="str">
        <f>IF(A999 = "", "", COUNTIFS('Game Record'!H:H, A999, 'Game Record'!E:E, C999))</f>
        <v/>
      </c>
      <c r="F999" s="2">
        <f t="shared" si="1"/>
        <v>0</v>
      </c>
      <c r="G999" s="1" t="str">
        <f>IF(A999 = "", "", COUNTIF('Game Record'!G:G, A999))</f>
        <v/>
      </c>
      <c r="H999" s="6" t="str">
        <f>IF(A999 = "", "", COUNTIF('Game Record'!H:H, A999))</f>
        <v/>
      </c>
      <c r="I999" s="2">
        <f>IFERROR(__xludf.DUMMYFUNCTION("SUM(FILTER(TeamARecordSet, INDEX(TeamARecordSet, 0, 1) = A999)) + SUM(FILTER(TeamBRecordSet, INDEX(TeamBRecordSet, 0, 1) = A999))"),0.0)</f>
        <v>0</v>
      </c>
      <c r="J999" s="2">
        <f t="shared" si="2"/>
        <v>0</v>
      </c>
      <c r="K999" s="2" t="str">
        <f t="shared" si="3"/>
        <v/>
      </c>
    </row>
    <row r="1000">
      <c r="A1000" s="2"/>
      <c r="B1000" s="7"/>
      <c r="D1000" s="5" t="str">
        <f>IF(A1000 = "", "", COUNTIFS('Game Record'!G:G, A1000, 'Game Record'!E:E, C1000))</f>
        <v/>
      </c>
      <c r="E1000" s="6" t="str">
        <f>IF(A1000 = "", "", COUNTIFS('Game Record'!H:H, A1000, 'Game Record'!E:E, C1000))</f>
        <v/>
      </c>
      <c r="F1000" s="2">
        <f t="shared" si="1"/>
        <v>0</v>
      </c>
      <c r="G1000" s="1" t="str">
        <f>IF(A1000 = "", "", COUNTIF('Game Record'!G:G, A1000))</f>
        <v/>
      </c>
      <c r="H1000" s="6" t="str">
        <f>IF(A1000 = "", "", COUNTIF('Game Record'!H:H, A1000))</f>
        <v/>
      </c>
      <c r="I1000" s="2">
        <f>IFERROR(__xludf.DUMMYFUNCTION("SUM(FILTER(TeamARecordSet, INDEX(TeamARecordSet, 0, 1) = A1000)) + SUM(FILTER(TeamBRecordSet, INDEX(TeamBRecordSet, 0, 1) = A1000))"),0.0)</f>
        <v>0</v>
      </c>
      <c r="J1000" s="2">
        <f t="shared" si="2"/>
        <v>0</v>
      </c>
      <c r="K1000" s="2" t="str">
        <f t="shared" si="3"/>
        <v/>
      </c>
    </row>
  </sheetData>
  <dataValidations>
    <dataValidation type="list" allowBlank="1" showErrorMessage="1" sqref="B2:B1000">
      <formula1>"1,2,3,4,5,6,7,8,9,10"</formula1>
    </dataValidation>
    <dataValidation type="list" allowBlank="1" showErrorMessage="1" sqref="A2:A1000">
      <formula1>"Luke,Kadin,Griffin,Ruben,Mitch,Jacob,Andrew,Raghav,Connor,Kyle,Michael,Nick"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0.75"/>
    <col customWidth="1" min="3" max="3" width="9.63"/>
    <col customWidth="1" min="4" max="4" width="12.5"/>
    <col customWidth="1" min="5" max="5" width="11.13"/>
    <col customWidth="1" min="6" max="6" width="10.5"/>
    <col customWidth="1" min="7" max="7" width="10.63"/>
    <col customWidth="1" min="8" max="8" width="11.5"/>
    <col customWidth="1" min="9" max="9" width="11.63"/>
    <col customWidth="1" min="10" max="10" width="9.88"/>
    <col customWidth="1" min="11" max="11" width="9.25"/>
    <col customWidth="1" min="12" max="13" width="11.75"/>
  </cols>
  <sheetData>
    <row r="1">
      <c r="A1" s="1">
        <v>2021.0</v>
      </c>
      <c r="B1" s="8" t="s">
        <v>9</v>
      </c>
      <c r="C1" s="8" t="s">
        <v>8</v>
      </c>
      <c r="D1" s="8" t="s">
        <v>14</v>
      </c>
      <c r="E1" s="8" t="s">
        <v>12</v>
      </c>
      <c r="F1" s="8" t="s">
        <v>11</v>
      </c>
      <c r="G1" s="8" t="s">
        <v>10</v>
      </c>
      <c r="H1" s="8" t="s">
        <v>18</v>
      </c>
      <c r="I1" s="8" t="s">
        <v>15</v>
      </c>
      <c r="J1" s="8" t="s">
        <v>16</v>
      </c>
      <c r="K1" s="8" t="s">
        <v>19</v>
      </c>
      <c r="L1" s="8" t="s">
        <v>13</v>
      </c>
      <c r="M1" s="8" t="s">
        <v>17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9</v>
      </c>
      <c r="B2" s="9" t="str">
        <f>IF(A2=B$1, "", 
   IF(
      (COUNTIFS(Winner, A2, Loser, B$1, Season, $A$1) + COUNTIFS(Winner, B$1, Loser, A2, Season, $A$1)) = 0, 
      "", 
      COUNTIFS(Winner, A2, Loser, B$1, Season, $A$1) / 
      (COUNTIFS(Winner, A2, Loser, B$1, Season, $A$1) + COUNTIFS(Winner, B$1, Loser, A2, Season, $A$1))
   )
)</f>
        <v/>
      </c>
      <c r="C2" s="9">
        <f>IF(A2=C$1, "", 
   IF(
      (COUNTIFS(Winner, A2, Loser, C$1, Season, $A$1) + COUNTIFS(Winner, C$1, Loser, A2, Season, $A$1)) = 0, 
      "", 
      COUNTIFS(Winner, A2, Loser, C$1, Season, $A$1) / 
      (COUNTIFS(Winner, A2, Loser, C$1, Season, $A$1) + COUNTIFS(Winner, C$1, Loser, A2, Season, $A$1))
   )
)</f>
        <v>0.5</v>
      </c>
      <c r="D2" s="9">
        <f>IF(A2=D$1, "", 
   IF(
      (COUNTIFS(Winner, A2, Loser, D$1, Season, $A$1) + COUNTIFS(Winner, D$1, Loser, A2, Season, $A$1)) = 0, 
      "", 
      COUNTIFS(Winner, A2, Loser, D$1, Season, $A$1) / 
      (COUNTIFS(Winner, A2, Loser, D$1, Season, $A$1) + COUNTIFS(Winner, D$1, Loser, A2, Season, $A$1))
   )
)</f>
        <v>0</v>
      </c>
      <c r="E2" s="9">
        <f>IF(A2=E$1, "", 
   IF(
      (COUNTIFS(Winner, A2, Loser, E$1, Season, $A$1) + COUNTIFS(Winner, E$1, Loser, A2, Season, $A$1)) = 0, 
      "", 
      COUNTIFS(Winner, A2, Loser, E$1, Season, $A$1) / 
      (COUNTIFS(Winner, A2, Loser, E$1, Season, $A$1) + COUNTIFS(Winner, E$1, Loser, A2, Season, $A$1))
   )
)</f>
        <v>1</v>
      </c>
      <c r="F2" s="9">
        <f>IF(A2=F$1, "", 
   IF(
      (COUNTIFS(Winner, A2, Loser, F$1, Season, $A$1) + COUNTIFS(Winner, F$1, Loser, A2, Season, $A$1)) = 0, 
      "", 
      COUNTIFS(Winner, A2, Loser, F$1, Season, $A$1) / 
      (COUNTIFS(Winner, A2, Loser, F$1, Season, $A$1) + COUNTIFS(Winner, F$1, Loser, A2, Season, $A$1))
   )
)</f>
        <v>0</v>
      </c>
      <c r="G2" s="9">
        <f>IF(A2=G$1, "", 
   IF(
      (COUNTIFS(Winner, A2, Loser, G$1, Season, $A$1) + COUNTIFS(Winner, G$1, Loser, A2, Season, $A$1)) = 0, 
      "", 
      COUNTIFS(Winner, A2, Loser, G$1, Season, $A$1) / 
      (COUNTIFS(Winner, A2, Loser, G$1, Season, $A$1) + COUNTIFS(Winner, G$1, Loser, A2, Season, $A$1))
   )
)</f>
        <v>1</v>
      </c>
      <c r="H2" s="9">
        <f>IF(A2=H$1, "", 
   IF(
      (COUNTIFS(Winner, A2, Loser, H$1, Season, $A$1) + COUNTIFS(Winner, H$1, Loser, A2, Season, $A$1)) = 0, 
      "", 
      COUNTIFS(Winner, A2, Loser, H$1, Season, $A$1) / 
      (COUNTIFS(Winner, A2, Loser, H$1, Season, $A$1) + COUNTIFS(Winner, H$1, Loser, A2, Season, $A$1))
   )
)</f>
        <v>1</v>
      </c>
      <c r="I2" s="9">
        <f>IF(A2=I$1, "", 
   IF(
      (COUNTIFS(Winner, A2, Loser, I$1, Season, $A$1) + COUNTIFS(Winner, I$1, Loser, A2, Season, $A$1)) = 0, 
      "", 
      COUNTIFS(Winner, A2, Loser, I$1, Season, $A$1) / 
      (COUNTIFS(Winner, A2, Loser, I$1, Season, $A$1) + COUNTIFS(Winner, I$1, Loser, A2, Season, $A$1))
   )
)</f>
        <v>1</v>
      </c>
      <c r="J2" s="9">
        <f>IF(A2=J$1, "", 
   IF(
      (COUNTIFS(Winner, A2, Loser, J$1, Season, $A$1) + COUNTIFS(Winner, J$1, Loser, A2, Season, $A$1)) = 0, 
      "", 
      COUNTIFS(Winner, A2, Loser, J$1, Season, $A$1) / 
      (COUNTIFS(Winner, A2, Loser, J$1, Season, $A$1) + COUNTIFS(Winner, J$1, Loser, A2, Season, $A$1))
   )
)</f>
        <v>0.5</v>
      </c>
      <c r="K2" s="9">
        <f>IF(A2=K$1, "", 
   IF(
      (COUNTIFS(Winner, A2, Loser, K$1, Season, $A$1) + COUNTIFS(Winner, K$1, Loser, A2, Season, $A$1)) = 0, 
      "", 
      COUNTIFS(Winner, A2, Loser, K$1, Season, $A$1) / 
      (COUNTIFS(Winner, A2, Loser, K$1, Season, $A$1) + COUNTIFS(Winner, K$1, Loser, A2, Season, $A$1))
   )
)</f>
        <v>0.5</v>
      </c>
      <c r="L2" s="9" t="str">
        <f>IF(A2=L$1, "", 
   IF(
      (COUNTIFS(Winner, A2, Loser, L$1, Season, $A$1) + COUNTIFS(Winner, L$1, Loser, A2, Season, $A$1)) = 0, 
      "", 
      COUNTIFS(Winner, A2, Loser, L$1, Season, $A$1) / 
      (COUNTIFS(Winner, A2, Loser, L$1, Season, $A$1) + COUNTIFS(Winner, L$1, Loser, A2, Season, $A$1))
   )
)</f>
        <v/>
      </c>
      <c r="M2" s="9" t="str">
        <f>IF(A2=M$1, "", 
   IF(
      (COUNTIFS(Winner, A2, Loser, M$1, Season, $A$1) + COUNTIFS(Winner, M$1, Loser, A2, Season, $A$1)) = 0, 
      "", 
      COUNTIFS(Winner, A2, Loser, M$1, Season, $A$1) / 
      (COUNTIFS(Winner, A2, Loser, M$1, Season, $A$1) + COUNTIFS(Winner, M$1, Loser, A2, Season, $A$1))
   )
)</f>
        <v/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8</v>
      </c>
      <c r="B3" s="9">
        <f>IF(A3=B$1, "", 
   IF(
      (COUNTIFS(Winner, A3, Loser, B$1, Season, $A$1) + COUNTIFS(Winner, B$1, Loser, A3, Season, $A$1)) = 0, 
      "", 
      COUNTIFS(Winner, A3, Loser, B$1, Season, $A$1) / 
      (COUNTIFS(Winner, A3, Loser, B$1, Season, $A$1) + COUNTIFS(Winner, B$1, Loser, A3, Season, $A$1))
   )
)</f>
        <v>0.5</v>
      </c>
      <c r="C3" s="9" t="str">
        <f>IF(A3=C$1, "", 
   IF(
      (COUNTIFS(Winner, A3, Loser, C$1, Season, $A$1) + COUNTIFS(Winner, C$1, Loser, A3, Season, $A$1)) = 0, 
      "", 
      COUNTIFS(Winner, A3, Loser, C$1, Season, $A$1) / 
      (COUNTIFS(Winner, A3, Loser, C$1, Season, $A$1) + COUNTIFS(Winner, C$1, Loser, A3, Season, $A$1))
   )
)</f>
        <v/>
      </c>
      <c r="D3" s="9">
        <f>IF(A3=D$1, "", 
   IF(
      (COUNTIFS(Winner, A3, Loser, D$1, Season, $A$1) + COUNTIFS(Winner, D$1, Loser, A3, Season, $A$1)) = 0, 
      "", 
      COUNTIFS(Winner, A3, Loser, D$1, Season, $A$1) / 
      (COUNTIFS(Winner, A3, Loser, D$1, Season, $A$1) + COUNTIFS(Winner, D$1, Loser, A3, Season, $A$1))
   )
)</f>
        <v>1</v>
      </c>
      <c r="E3" s="9">
        <f>IF(A3=E$1, "", 
   IF(
      (COUNTIFS(Winner, A3, Loser, E$1, Season, $A$1) + COUNTIFS(Winner, E$1, Loser, A3, Season, $A$1)) = 0, 
      "", 
      COUNTIFS(Winner, A3, Loser, E$1, Season, $A$1) / 
      (COUNTIFS(Winner, A3, Loser, E$1, Season, $A$1) + COUNTIFS(Winner, E$1, Loser, A3, Season, $A$1))
   )
)</f>
        <v>0.6666666667</v>
      </c>
      <c r="F3" s="9">
        <f>IF(A3=F$1, "", 
   IF(
      (COUNTIFS(Winner, A3, Loser, F$1, Season, $A$1) + COUNTIFS(Winner, F$1, Loser, A3, Season, $A$1)) = 0, 
      "", 
      COUNTIFS(Winner, A3, Loser, F$1, Season, $A$1) / 
      (COUNTIFS(Winner, A3, Loser, F$1, Season, $A$1) + COUNTIFS(Winner, F$1, Loser, A3, Season, $A$1))
   )
)</f>
        <v>0.5</v>
      </c>
      <c r="G3" s="9">
        <f>IF(A3=G$1, "", 
   IF(
      (COUNTIFS(Winner, A3, Loser, G$1, Season, $A$1) + COUNTIFS(Winner, G$1, Loser, A3, Season, $A$1)) = 0, 
      "", 
      COUNTIFS(Winner, A3, Loser, G$1, Season, $A$1) / 
      (COUNTIFS(Winner, A3, Loser, G$1, Season, $A$1) + COUNTIFS(Winner, G$1, Loser, A3, Season, $A$1))
   )
)</f>
        <v>0.5</v>
      </c>
      <c r="H3" s="9">
        <f>IF(A3=H$1, "", 
   IF(
      (COUNTIFS(Winner, A3, Loser, H$1, Season, $A$1) + COUNTIFS(Winner, H$1, Loser, A3, Season, $A$1)) = 0, 
      "", 
      COUNTIFS(Winner, A3, Loser, H$1, Season, $A$1) / 
      (COUNTIFS(Winner, A3, Loser, H$1, Season, $A$1) + COUNTIFS(Winner, H$1, Loser, A3, Season, $A$1))
   )
)</f>
        <v>0</v>
      </c>
      <c r="I3" s="9">
        <f>IF(A3=I$1, "", 
   IF(
      (COUNTIFS(Winner, A3, Loser, I$1, Season, $A$1) + COUNTIFS(Winner, I$1, Loser, A3, Season, $A$1)) = 0, 
      "", 
      COUNTIFS(Winner, A3, Loser, I$1, Season, $A$1) / 
      (COUNTIFS(Winner, A3, Loser, I$1, Season, $A$1) + COUNTIFS(Winner, I$1, Loser, A3, Season, $A$1))
   )
)</f>
        <v>1</v>
      </c>
      <c r="J3" s="9">
        <f>IF(A3=J$1, "", 
   IF(
      (COUNTIFS(Winner, A3, Loser, J$1, Season, $A$1) + COUNTIFS(Winner, J$1, Loser, A3, Season, $A$1)) = 0, 
      "", 
      COUNTIFS(Winner, A3, Loser, J$1, Season, $A$1) / 
      (COUNTIFS(Winner, A3, Loser, J$1, Season, $A$1) + COUNTIFS(Winner, J$1, Loser, A3, Season, $A$1))
   )
)</f>
        <v>1</v>
      </c>
      <c r="K3" s="9">
        <f>IF(A3=K$1, "", 
   IF(
      (COUNTIFS(Winner, A3, Loser, K$1, Season, $A$1) + COUNTIFS(Winner, K$1, Loser, A3, Season, $A$1)) = 0, 
      "", 
      COUNTIFS(Winner, A3, Loser, K$1, Season, $A$1) / 
      (COUNTIFS(Winner, A3, Loser, K$1, Season, $A$1) + COUNTIFS(Winner, K$1, Loser, A3, Season, $A$1))
   )
)</f>
        <v>0</v>
      </c>
      <c r="L3" s="9" t="str">
        <f>IF(A3=L$1, "", 
   IF(
      (COUNTIFS(Winner, A3, Loser, L$1, Season, $A$1) + COUNTIFS(Winner, L$1, Loser, A3, Season, $A$1)) = 0, 
      "", 
      COUNTIFS(Winner, A3, Loser, L$1, Season, $A$1) / 
      (COUNTIFS(Winner, A3, Loser, L$1, Season, $A$1) + COUNTIFS(Winner, L$1, Loser, A3, Season, $A$1))
   )
)</f>
        <v/>
      </c>
      <c r="M3" s="9" t="str">
        <f>IF(A3=M$1, "", 
   IF(
      (COUNTIFS(Winner, A3, Loser, M$1, Season, $A$1) + COUNTIFS(Winner, M$1, Loser, A3, Season, $A$1)) = 0, 
      "", 
      COUNTIFS(Winner, A3, Loser, M$1, Season, $A$1) / 
      (COUNTIFS(Winner, A3, Loser, M$1, Season, $A$1) + COUNTIFS(Winner, M$1, Loser, A3, Season, $A$1))
   )
)</f>
        <v/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14</v>
      </c>
      <c r="B4" s="9">
        <f>IF(A4=B$1, "", 
   IF(
      (COUNTIFS(Winner, A4, Loser, B$1, Season, $A$1) + COUNTIFS(Winner, B$1, Loser, A4, Season, $A$1)) = 0, 
      "", 
      COUNTIFS(Winner, A4, Loser, B$1, Season, $A$1) / 
      (COUNTIFS(Winner, A4, Loser, B$1, Season, $A$1) + COUNTIFS(Winner, B$1, Loser, A4, Season, $A$1))
   )
)</f>
        <v>1</v>
      </c>
      <c r="C4" s="9">
        <f>IF(A4=C$1, "", 
   IF(
      (COUNTIFS(Winner, A4, Loser, C$1, Season, $A$1) + COUNTIFS(Winner, C$1, Loser, A4, Season, $A$1)) = 0, 
      "", 
      COUNTIFS(Winner, A4, Loser, C$1, Season, $A$1) / 
      (COUNTIFS(Winner, A4, Loser, C$1, Season, $A$1) + COUNTIFS(Winner, C$1, Loser, A4, Season, $A$1))
   )
)</f>
        <v>0</v>
      </c>
      <c r="D4" s="9" t="str">
        <f>IF(A4=D$1, "", 
   IF(
      (COUNTIFS(Winner, A4, Loser, D$1, Season, $A$1) + COUNTIFS(Winner, D$1, Loser, A4, Season, $A$1)) = 0, 
      "", 
      COUNTIFS(Winner, A4, Loser, D$1, Season, $A$1) / 
      (COUNTIFS(Winner, A4, Loser, D$1, Season, $A$1) + COUNTIFS(Winner, D$1, Loser, A4, Season, $A$1))
   )
)</f>
        <v/>
      </c>
      <c r="E4" s="9">
        <f>IF(A4=E$1, "", 
   IF(
      (COUNTIFS(Winner, A4, Loser, E$1, Season, $A$1) + COUNTIFS(Winner, E$1, Loser, A4, Season, $A$1)) = 0, 
      "", 
      COUNTIFS(Winner, A4, Loser, E$1, Season, $A$1) / 
      (COUNTIFS(Winner, A4, Loser, E$1, Season, $A$1) + COUNTIFS(Winner, E$1, Loser, A4, Season, $A$1))
   )
)</f>
        <v>1</v>
      </c>
      <c r="F4" s="9">
        <f>IF(A4=F$1, "", 
   IF(
      (COUNTIFS(Winner, A4, Loser, F$1, Season, $A$1) + COUNTIFS(Winner, F$1, Loser, A4, Season, $A$1)) = 0, 
      "", 
      COUNTIFS(Winner, A4, Loser, F$1, Season, $A$1) / 
      (COUNTIFS(Winner, A4, Loser, F$1, Season, $A$1) + COUNTIFS(Winner, F$1, Loser, A4, Season, $A$1))
   )
)</f>
        <v>0.6666666667</v>
      </c>
      <c r="G4" s="9">
        <f>IF(A4=G$1, "", 
   IF(
      (COUNTIFS(Winner, A4, Loser, G$1, Season, $A$1) + COUNTIFS(Winner, G$1, Loser, A4, Season, $A$1)) = 0, 
      "", 
      COUNTIFS(Winner, A4, Loser, G$1, Season, $A$1) / 
      (COUNTIFS(Winner, A4, Loser, G$1, Season, $A$1) + COUNTIFS(Winner, G$1, Loser, A4, Season, $A$1))
   )
)</f>
        <v>0.5</v>
      </c>
      <c r="H4" s="9">
        <f>IF(A4=H$1, "", 
   IF(
      (COUNTIFS(Winner, A4, Loser, H$1, Season, $A$1) + COUNTIFS(Winner, H$1, Loser, A4, Season, $A$1)) = 0, 
      "", 
      COUNTIFS(Winner, A4, Loser, H$1, Season, $A$1) / 
      (COUNTIFS(Winner, A4, Loser, H$1, Season, $A$1) + COUNTIFS(Winner, H$1, Loser, A4, Season, $A$1))
   )
)</f>
        <v>0</v>
      </c>
      <c r="I4" s="9">
        <f>IF(A4=I$1, "", 
   IF(
      (COUNTIFS(Winner, A4, Loser, I$1, Season, $A$1) + COUNTIFS(Winner, I$1, Loser, A4, Season, $A$1)) = 0, 
      "", 
      COUNTIFS(Winner, A4, Loser, I$1, Season, $A$1) / 
      (COUNTIFS(Winner, A4, Loser, I$1, Season, $A$1) + COUNTIFS(Winner, I$1, Loser, A4, Season, $A$1))
   )
)</f>
        <v>1</v>
      </c>
      <c r="J4" s="9">
        <f>IF(A4=J$1, "", 
   IF(
      (COUNTIFS(Winner, A4, Loser, J$1, Season, $A$1) + COUNTIFS(Winner, J$1, Loser, A4, Season, $A$1)) = 0, 
      "", 
      COUNTIFS(Winner, A4, Loser, J$1, Season, $A$1) / 
      (COUNTIFS(Winner, A4, Loser, J$1, Season, $A$1) + COUNTIFS(Winner, J$1, Loser, A4, Season, $A$1))
   )
)</f>
        <v>0.6666666667</v>
      </c>
      <c r="K4" s="9">
        <f>IF(A4=K$1, "", 
   IF(
      (COUNTIFS(Winner, A4, Loser, K$1, Season, $A$1) + COUNTIFS(Winner, K$1, Loser, A4, Season, $A$1)) = 0, 
      "", 
      COUNTIFS(Winner, A4, Loser, K$1, Season, $A$1) / 
      (COUNTIFS(Winner, A4, Loser, K$1, Season, $A$1) + COUNTIFS(Winner, K$1, Loser, A4, Season, $A$1))
   )
)</f>
        <v>1</v>
      </c>
      <c r="L4" s="9" t="str">
        <f>IF(A4=L$1, "", 
   IF(
      (COUNTIFS(Winner, A4, Loser, L$1, Season, $A$1) + COUNTIFS(Winner, L$1, Loser, A4, Season, $A$1)) = 0, 
      "", 
      COUNTIFS(Winner, A4, Loser, L$1, Season, $A$1) / 
      (COUNTIFS(Winner, A4, Loser, L$1, Season, $A$1) + COUNTIFS(Winner, L$1, Loser, A4, Season, $A$1))
   )
)</f>
        <v/>
      </c>
      <c r="M4" s="9" t="str">
        <f>IF(A4=M$1, "", 
   IF(
      (COUNTIFS(Winner, A4, Loser, M$1, Season, $A$1) + COUNTIFS(Winner, M$1, Loser, A4, Season, $A$1)) = 0, 
      "", 
      COUNTIFS(Winner, A4, Loser, M$1, Season, $A$1) / 
      (COUNTIFS(Winner, A4, Loser, M$1, Season, $A$1) + COUNTIFS(Winner, M$1, Loser, A4, Season, $A$1))
   )
)</f>
        <v/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 t="s">
        <v>12</v>
      </c>
      <c r="B5" s="9">
        <f>IF(A5=B$1, "", 
   IF(
      (COUNTIFS(Winner, A5, Loser, B$1, Season, $A$1) + COUNTIFS(Winner, B$1, Loser, A5, Season, $A$1)) = 0, 
      "", 
      COUNTIFS(Winner, A5, Loser, B$1, Season, $A$1) / 
      (COUNTIFS(Winner, A5, Loser, B$1, Season, $A$1) + COUNTIFS(Winner, B$1, Loser, A5, Season, $A$1))
   )
)</f>
        <v>0</v>
      </c>
      <c r="C5" s="9">
        <f>IF(A5=C$1, "", 
   IF(
      (COUNTIFS(Winner, A5, Loser, C$1, Season, $A$1) + COUNTIFS(Winner, C$1, Loser, A5, Season, $A$1)) = 0, 
      "", 
      COUNTIFS(Winner, A5, Loser, C$1, Season, $A$1) / 
      (COUNTIFS(Winner, A5, Loser, C$1, Season, $A$1) + COUNTIFS(Winner, C$1, Loser, A5, Season, $A$1))
   )
)</f>
        <v>0.3333333333</v>
      </c>
      <c r="D5" s="9">
        <f>IF(A5=D$1, "", 
   IF(
      (COUNTIFS(Winner, A5, Loser, D$1, Season, $A$1) + COUNTIFS(Winner, D$1, Loser, A5, Season, $A$1)) = 0, 
      "", 
      COUNTIFS(Winner, A5, Loser, D$1, Season, $A$1) / 
      (COUNTIFS(Winner, A5, Loser, D$1, Season, $A$1) + COUNTIFS(Winner, D$1, Loser, A5, Season, $A$1))
   )
)</f>
        <v>0</v>
      </c>
      <c r="E5" s="9" t="str">
        <f>IF(A5=E$1, "", 
   IF(
      (COUNTIFS(Winner, A5, Loser, E$1, Season, $A$1) + COUNTIFS(Winner, E$1, Loser, A5, Season, $A$1)) = 0, 
      "", 
      COUNTIFS(Winner, A5, Loser, E$1, Season, $A$1) / 
      (COUNTIFS(Winner, A5, Loser, E$1, Season, $A$1) + COUNTIFS(Winner, E$1, Loser, A5, Season, $A$1))
   )
)</f>
        <v/>
      </c>
      <c r="F5" s="9">
        <f>IF(A5=F$1, "", 
   IF(
      (COUNTIFS(Winner, A5, Loser, F$1, Season, $A$1) + COUNTIFS(Winner, F$1, Loser, A5, Season, $A$1)) = 0, 
      "", 
      COUNTIFS(Winner, A5, Loser, F$1, Season, $A$1) / 
      (COUNTIFS(Winner, A5, Loser, F$1, Season, $A$1) + COUNTIFS(Winner, F$1, Loser, A5, Season, $A$1))
   )
)</f>
        <v>1</v>
      </c>
      <c r="G5" s="9">
        <f>IF(A5=G$1, "", 
   IF(
      (COUNTIFS(Winner, A5, Loser, G$1, Season, $A$1) + COUNTIFS(Winner, G$1, Loser, A5, Season, $A$1)) = 0, 
      "", 
      COUNTIFS(Winner, A5, Loser, G$1, Season, $A$1) / 
      (COUNTIFS(Winner, A5, Loser, G$1, Season, $A$1) + COUNTIFS(Winner, G$1, Loser, A5, Season, $A$1))
   )
)</f>
        <v>0</v>
      </c>
      <c r="H5" s="9">
        <f>IF(A5=H$1, "", 
   IF(
      (COUNTIFS(Winner, A5, Loser, H$1, Season, $A$1) + COUNTIFS(Winner, H$1, Loser, A5, Season, $A$1)) = 0, 
      "", 
      COUNTIFS(Winner, A5, Loser, H$1, Season, $A$1) / 
      (COUNTIFS(Winner, A5, Loser, H$1, Season, $A$1) + COUNTIFS(Winner, H$1, Loser, A5, Season, $A$1))
   )
)</f>
        <v>0</v>
      </c>
      <c r="I5" s="9">
        <f>IF(A5=I$1, "", 
   IF(
      (COUNTIFS(Winner, A5, Loser, I$1, Season, $A$1) + COUNTIFS(Winner, I$1, Loser, A5, Season, $A$1)) = 0, 
      "", 
      COUNTIFS(Winner, A5, Loser, I$1, Season, $A$1) / 
      (COUNTIFS(Winner, A5, Loser, I$1, Season, $A$1) + COUNTIFS(Winner, I$1, Loser, A5, Season, $A$1))
   )
)</f>
        <v>0</v>
      </c>
      <c r="J5" s="9">
        <f>IF(A5=J$1, "", 
   IF(
      (COUNTIFS(Winner, A5, Loser, J$1, Season, $A$1) + COUNTIFS(Winner, J$1, Loser, A5, Season, $A$1)) = 0, 
      "", 
      COUNTIFS(Winner, A5, Loser, J$1, Season, $A$1) / 
      (COUNTIFS(Winner, A5, Loser, J$1, Season, $A$1) + COUNTIFS(Winner, J$1, Loser, A5, Season, $A$1))
   )
)</f>
        <v>0.5</v>
      </c>
      <c r="K5" s="9">
        <f>IF(A5=K$1, "", 
   IF(
      (COUNTIFS(Winner, A5, Loser, K$1, Season, $A$1) + COUNTIFS(Winner, K$1, Loser, A5, Season, $A$1)) = 0, 
      "", 
      COUNTIFS(Winner, A5, Loser, K$1, Season, $A$1) / 
      (COUNTIFS(Winner, A5, Loser, K$1, Season, $A$1) + COUNTIFS(Winner, K$1, Loser, A5, Season, $A$1))
   )
)</f>
        <v>0</v>
      </c>
      <c r="L5" s="9" t="str">
        <f>IF(A5=L$1, "", 
   IF(
      (COUNTIFS(Winner, A5, Loser, L$1, Season, $A$1) + COUNTIFS(Winner, L$1, Loser, A5, Season, $A$1)) = 0, 
      "", 
      COUNTIFS(Winner, A5, Loser, L$1, Season, $A$1) / 
      (COUNTIFS(Winner, A5, Loser, L$1, Season, $A$1) + COUNTIFS(Winner, L$1, Loser, A5, Season, $A$1))
   )
)</f>
        <v/>
      </c>
      <c r="M5" s="9" t="str">
        <f>IF(A5=M$1, "", 
   IF(
      (COUNTIFS(Winner, A5, Loser, M$1, Season, $A$1) + COUNTIFS(Winner, M$1, Loser, A5, Season, $A$1)) = 0, 
      "", 
      COUNTIFS(Winner, A5, Loser, M$1, Season, $A$1) / 
      (COUNTIFS(Winner, A5, Loser, M$1, Season, $A$1) + COUNTIFS(Winner, M$1, Loser, A5, Season, $A$1))
   )
)</f>
        <v/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 t="s">
        <v>11</v>
      </c>
      <c r="B6" s="9">
        <f>IF(A6=B$1, "", 
   IF(
      (COUNTIFS(Winner, A6, Loser, B$1, Season, $A$1) + COUNTIFS(Winner, B$1, Loser, A6, Season, $A$1)) = 0, 
      "", 
      COUNTIFS(Winner, A6, Loser, B$1, Season, $A$1) / 
      (COUNTIFS(Winner, A6, Loser, B$1, Season, $A$1) + COUNTIFS(Winner, B$1, Loser, A6, Season, $A$1))
   )
)</f>
        <v>1</v>
      </c>
      <c r="C6" s="9">
        <f>IF(A6=C$1, "", 
   IF(
      (COUNTIFS(Winner, A6, Loser, C$1, Season, $A$1) + COUNTIFS(Winner, C$1, Loser, A6, Season, $A$1)) = 0, 
      "", 
      COUNTIFS(Winner, A6, Loser, C$1, Season, $A$1) / 
      (COUNTIFS(Winner, A6, Loser, C$1, Season, $A$1) + COUNTIFS(Winner, C$1, Loser, A6, Season, $A$1))
   )
)</f>
        <v>0.5</v>
      </c>
      <c r="D6" s="9">
        <f>IF(A6=D$1, "", 
   IF(
      (COUNTIFS(Winner, A6, Loser, D$1, Season, $A$1) + COUNTIFS(Winner, D$1, Loser, A6, Season, $A$1)) = 0, 
      "", 
      COUNTIFS(Winner, A6, Loser, D$1, Season, $A$1) / 
      (COUNTIFS(Winner, A6, Loser, D$1, Season, $A$1) + COUNTIFS(Winner, D$1, Loser, A6, Season, $A$1))
   )
)</f>
        <v>0.3333333333</v>
      </c>
      <c r="E6" s="9">
        <f>IF(A6=E$1, "", 
   IF(
      (COUNTIFS(Winner, A6, Loser, E$1, Season, $A$1) + COUNTIFS(Winner, E$1, Loser, A6, Season, $A$1)) = 0, 
      "", 
      COUNTIFS(Winner, A6, Loser, E$1, Season, $A$1) / 
      (COUNTIFS(Winner, A6, Loser, E$1, Season, $A$1) + COUNTIFS(Winner, E$1, Loser, A6, Season, $A$1))
   )
)</f>
        <v>0</v>
      </c>
      <c r="F6" s="9" t="str">
        <f>IF(A6=F$1, "", 
   IF(
      (COUNTIFS(Winner, A6, Loser, F$1, Season, $A$1) + COUNTIFS(Winner, F$1, Loser, A6, Season, $A$1)) = 0, 
      "", 
      COUNTIFS(Winner, A6, Loser, F$1, Season, $A$1) / 
      (COUNTIFS(Winner, A6, Loser, F$1, Season, $A$1) + COUNTIFS(Winner, F$1, Loser, A6, Season, $A$1))
   )
)</f>
        <v/>
      </c>
      <c r="G6" s="9">
        <f>IF(A6=G$1, "", 
   IF(
      (COUNTIFS(Winner, A6, Loser, G$1, Season, $A$1) + COUNTIFS(Winner, G$1, Loser, A6, Season, $A$1)) = 0, 
      "", 
      COUNTIFS(Winner, A6, Loser, G$1, Season, $A$1) / 
      (COUNTIFS(Winner, A6, Loser, G$1, Season, $A$1) + COUNTIFS(Winner, G$1, Loser, A6, Season, $A$1))
   )
)</f>
        <v>1</v>
      </c>
      <c r="H6" s="9">
        <f>IF(A6=H$1, "", 
   IF(
      (COUNTIFS(Winner, A6, Loser, H$1, Season, $A$1) + COUNTIFS(Winner, H$1, Loser, A6, Season, $A$1)) = 0, 
      "", 
      COUNTIFS(Winner, A6, Loser, H$1, Season, $A$1) / 
      (COUNTIFS(Winner, A6, Loser, H$1, Season, $A$1) + COUNTIFS(Winner, H$1, Loser, A6, Season, $A$1))
   )
)</f>
        <v>0</v>
      </c>
      <c r="I6" s="9">
        <f>IF(A6=I$1, "", 
   IF(
      (COUNTIFS(Winner, A6, Loser, I$1, Season, $A$1) + COUNTIFS(Winner, I$1, Loser, A6, Season, $A$1)) = 0, 
      "", 
      COUNTIFS(Winner, A6, Loser, I$1, Season, $A$1) / 
      (COUNTIFS(Winner, A6, Loser, I$1, Season, $A$1) + COUNTIFS(Winner, I$1, Loser, A6, Season, $A$1))
   )
)</f>
        <v>0.5</v>
      </c>
      <c r="J6" s="9">
        <f>IF(A6=J$1, "", 
   IF(
      (COUNTIFS(Winner, A6, Loser, J$1, Season, $A$1) + COUNTIFS(Winner, J$1, Loser, A6, Season, $A$1)) = 0, 
      "", 
      COUNTIFS(Winner, A6, Loser, J$1, Season, $A$1) / 
      (COUNTIFS(Winner, A6, Loser, J$1, Season, $A$1) + COUNTIFS(Winner, J$1, Loser, A6, Season, $A$1))
   )
)</f>
        <v>0.5</v>
      </c>
      <c r="K6" s="9">
        <f>IF(A6=K$1, "", 
   IF(
      (COUNTIFS(Winner, A6, Loser, K$1, Season, $A$1) + COUNTIFS(Winner, K$1, Loser, A6, Season, $A$1)) = 0, 
      "", 
      COUNTIFS(Winner, A6, Loser, K$1, Season, $A$1) / 
      (COUNTIFS(Winner, A6, Loser, K$1, Season, $A$1) + COUNTIFS(Winner, K$1, Loser, A6, Season, $A$1))
   )
)</f>
        <v>1</v>
      </c>
      <c r="L6" s="9" t="str">
        <f>IF(A6=L$1, "", 
   IF(
      (COUNTIFS(Winner, A6, Loser, L$1, Season, $A$1) + COUNTIFS(Winner, L$1, Loser, A6, Season, $A$1)) = 0, 
      "", 
      COUNTIFS(Winner, A6, Loser, L$1, Season, $A$1) / 
      (COUNTIFS(Winner, A6, Loser, L$1, Season, $A$1) + COUNTIFS(Winner, L$1, Loser, A6, Season, $A$1))
   )
)</f>
        <v/>
      </c>
      <c r="M6" s="9" t="str">
        <f>IF(A6=M$1, "", 
   IF(
      (COUNTIFS(Winner, A6, Loser, M$1, Season, $A$1) + COUNTIFS(Winner, M$1, Loser, A6, Season, $A$1)) = 0, 
      "", 
      COUNTIFS(Winner, A6, Loser, M$1, Season, $A$1) / 
      (COUNTIFS(Winner, A6, Loser, M$1, Season, $A$1) + COUNTIFS(Winner, M$1, Loser, A6, Season, $A$1))
   )
)</f>
        <v/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10</v>
      </c>
      <c r="B7" s="9">
        <f>IF(A7=B$1, "", 
   IF(
      (COUNTIFS(Winner, A7, Loser, B$1, Season, $A$1) + COUNTIFS(Winner, B$1, Loser, A7, Season, $A$1)) = 0, 
      "", 
      COUNTIFS(Winner, A7, Loser, B$1, Season, $A$1) / 
      (COUNTIFS(Winner, A7, Loser, B$1, Season, $A$1) + COUNTIFS(Winner, B$1, Loser, A7, Season, $A$1))
   )
)</f>
        <v>0</v>
      </c>
      <c r="C7" s="9">
        <f>IF(A7=C$1, "", 
   IF(
      (COUNTIFS(Winner, A7, Loser, C$1, Season, $A$1) + COUNTIFS(Winner, C$1, Loser, A7, Season, $A$1)) = 0, 
      "", 
      COUNTIFS(Winner, A7, Loser, C$1, Season, $A$1) / 
      (COUNTIFS(Winner, A7, Loser, C$1, Season, $A$1) + COUNTIFS(Winner, C$1, Loser, A7, Season, $A$1))
   )
)</f>
        <v>0.5</v>
      </c>
      <c r="D7" s="9">
        <f>IF(A7=D$1, "", 
   IF(
      (COUNTIFS(Winner, A7, Loser, D$1, Season, $A$1) + COUNTIFS(Winner, D$1, Loser, A7, Season, $A$1)) = 0, 
      "", 
      COUNTIFS(Winner, A7, Loser, D$1, Season, $A$1) / 
      (COUNTIFS(Winner, A7, Loser, D$1, Season, $A$1) + COUNTIFS(Winner, D$1, Loser, A7, Season, $A$1))
   )
)</f>
        <v>0.5</v>
      </c>
      <c r="E7" s="9">
        <f>IF(A7=E$1, "", 
   IF(
      (COUNTIFS(Winner, A7, Loser, E$1, Season, $A$1) + COUNTIFS(Winner, E$1, Loser, A7, Season, $A$1)) = 0, 
      "", 
      COUNTIFS(Winner, A7, Loser, E$1, Season, $A$1) / 
      (COUNTIFS(Winner, A7, Loser, E$1, Season, $A$1) + COUNTIFS(Winner, E$1, Loser, A7, Season, $A$1))
   )
)</f>
        <v>1</v>
      </c>
      <c r="F7" s="9">
        <f>IF(A7=F$1, "", 
   IF(
      (COUNTIFS(Winner, A7, Loser, F$1, Season, $A$1) + COUNTIFS(Winner, F$1, Loser, A7, Season, $A$1)) = 0, 
      "", 
      COUNTIFS(Winner, A7, Loser, F$1, Season, $A$1) / 
      (COUNTIFS(Winner, A7, Loser, F$1, Season, $A$1) + COUNTIFS(Winner, F$1, Loser, A7, Season, $A$1))
   )
)</f>
        <v>0</v>
      </c>
      <c r="G7" s="9" t="str">
        <f>IF(A7=G$1, "", 
   IF(
      (COUNTIFS(Winner, A7, Loser, G$1, Season, $A$1) + COUNTIFS(Winner, G$1, Loser, A7, Season, $A$1)) = 0, 
      "", 
      COUNTIFS(Winner, A7, Loser, G$1, Season, $A$1) / 
      (COUNTIFS(Winner, A7, Loser, G$1, Season, $A$1) + COUNTIFS(Winner, G$1, Loser, A7, Season, $A$1))
   )
)</f>
        <v/>
      </c>
      <c r="H7" s="9">
        <f>IF(A7=H$1, "", 
   IF(
      (COUNTIFS(Winner, A7, Loser, H$1, Season, $A$1) + COUNTIFS(Winner, H$1, Loser, A7, Season, $A$1)) = 0, 
      "", 
      COUNTIFS(Winner, A7, Loser, H$1, Season, $A$1) / 
      (COUNTIFS(Winner, A7, Loser, H$1, Season, $A$1) + COUNTIFS(Winner, H$1, Loser, A7, Season, $A$1))
   )
)</f>
        <v>1</v>
      </c>
      <c r="I7" s="9">
        <f>IF(A7=I$1, "", 
   IF(
      (COUNTIFS(Winner, A7, Loser, I$1, Season, $A$1) + COUNTIFS(Winner, I$1, Loser, A7, Season, $A$1)) = 0, 
      "", 
      COUNTIFS(Winner, A7, Loser, I$1, Season, $A$1) / 
      (COUNTIFS(Winner, A7, Loser, I$1, Season, $A$1) + COUNTIFS(Winner, I$1, Loser, A7, Season, $A$1))
   )
)</f>
        <v>1</v>
      </c>
      <c r="J7" s="9">
        <f>IF(A7=J$1, "", 
   IF(
      (COUNTIFS(Winner, A7, Loser, J$1, Season, $A$1) + COUNTIFS(Winner, J$1, Loser, A7, Season, $A$1)) = 0, 
      "", 
      COUNTIFS(Winner, A7, Loser, J$1, Season, $A$1) / 
      (COUNTIFS(Winner, A7, Loser, J$1, Season, $A$1) + COUNTIFS(Winner, J$1, Loser, A7, Season, $A$1))
   )
)</f>
        <v>0.5</v>
      </c>
      <c r="K7" s="9">
        <f>IF(A7=K$1, "", 
   IF(
      (COUNTIFS(Winner, A7, Loser, K$1, Season, $A$1) + COUNTIFS(Winner, K$1, Loser, A7, Season, $A$1)) = 0, 
      "", 
      COUNTIFS(Winner, A7, Loser, K$1, Season, $A$1) / 
      (COUNTIFS(Winner, A7, Loser, K$1, Season, $A$1) + COUNTIFS(Winner, K$1, Loser, A7, Season, $A$1))
   )
)</f>
        <v>1</v>
      </c>
      <c r="L7" s="9" t="str">
        <f>IF(A7=L$1, "", 
   IF(
      (COUNTIFS(Winner, A7, Loser, L$1, Season, $A$1) + COUNTIFS(Winner, L$1, Loser, A7, Season, $A$1)) = 0, 
      "", 
      COUNTIFS(Winner, A7, Loser, L$1, Season, $A$1) / 
      (COUNTIFS(Winner, A7, Loser, L$1, Season, $A$1) + COUNTIFS(Winner, L$1, Loser, A7, Season, $A$1))
   )
)</f>
        <v/>
      </c>
      <c r="M7" s="9" t="str">
        <f>IF(A7=M$1, "", 
   IF(
      (COUNTIFS(Winner, A7, Loser, M$1, Season, $A$1) + COUNTIFS(Winner, M$1, Loser, A7, Season, $A$1)) = 0, 
      "", 
      COUNTIFS(Winner, A7, Loser, M$1, Season, $A$1) / 
      (COUNTIFS(Winner, A7, Loser, M$1, Season, $A$1) + COUNTIFS(Winner, M$1, Loser, A7, Season, $A$1))
   )
)</f>
        <v/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18</v>
      </c>
      <c r="B8" s="9">
        <f>IF(A8=B$1, "", 
   IF(
      (COUNTIFS(Winner, A8, Loser, B$1, Season, $A$1) + COUNTIFS(Winner, B$1, Loser, A8, Season, $A$1)) = 0, 
      "", 
      COUNTIFS(Winner, A8, Loser, B$1, Season, $A$1) / 
      (COUNTIFS(Winner, A8, Loser, B$1, Season, $A$1) + COUNTIFS(Winner, B$1, Loser, A8, Season, $A$1))
   )
)</f>
        <v>0</v>
      </c>
      <c r="C8" s="9">
        <f>IF(A8=C$1, "", 
   IF(
      (COUNTIFS(Winner, A8, Loser, C$1, Season, $A$1) + COUNTIFS(Winner, C$1, Loser, A8, Season, $A$1)) = 0, 
      "", 
      COUNTIFS(Winner, A8, Loser, C$1, Season, $A$1) / 
      (COUNTIFS(Winner, A8, Loser, C$1, Season, $A$1) + COUNTIFS(Winner, C$1, Loser, A8, Season, $A$1))
   )
)</f>
        <v>1</v>
      </c>
      <c r="D8" s="9">
        <f>IF(A8=D$1, "", 
   IF(
      (COUNTIFS(Winner, A8, Loser, D$1, Season, $A$1) + COUNTIFS(Winner, D$1, Loser, A8, Season, $A$1)) = 0, 
      "", 
      COUNTIFS(Winner, A8, Loser, D$1, Season, $A$1) / 
      (COUNTIFS(Winner, A8, Loser, D$1, Season, $A$1) + COUNTIFS(Winner, D$1, Loser, A8, Season, $A$1))
   )
)</f>
        <v>1</v>
      </c>
      <c r="E8" s="9">
        <f>IF(A8=E$1, "", 
   IF(
      (COUNTIFS(Winner, A8, Loser, E$1, Season, $A$1) + COUNTIFS(Winner, E$1, Loser, A8, Season, $A$1)) = 0, 
      "", 
      COUNTIFS(Winner, A8, Loser, E$1, Season, $A$1) / 
      (COUNTIFS(Winner, A8, Loser, E$1, Season, $A$1) + COUNTIFS(Winner, E$1, Loser, A8, Season, $A$1))
   )
)</f>
        <v>1</v>
      </c>
      <c r="F8" s="9">
        <f>IF(A8=F$1, "", 
   IF(
      (COUNTIFS(Winner, A8, Loser, F$1, Season, $A$1) + COUNTIFS(Winner, F$1, Loser, A8, Season, $A$1)) = 0, 
      "", 
      COUNTIFS(Winner, A8, Loser, F$1, Season, $A$1) / 
      (COUNTIFS(Winner, A8, Loser, F$1, Season, $A$1) + COUNTIFS(Winner, F$1, Loser, A8, Season, $A$1))
   )
)</f>
        <v>1</v>
      </c>
      <c r="G8" s="9">
        <f>IF(A8=G$1, "", 
   IF(
      (COUNTIFS(Winner, A8, Loser, G$1, Season, $A$1) + COUNTIFS(Winner, G$1, Loser, A8, Season, $A$1)) = 0, 
      "", 
      COUNTIFS(Winner, A8, Loser, G$1, Season, $A$1) / 
      (COUNTIFS(Winner, A8, Loser, G$1, Season, $A$1) + COUNTIFS(Winner, G$1, Loser, A8, Season, $A$1))
   )
)</f>
        <v>0</v>
      </c>
      <c r="H8" s="9" t="str">
        <f>IF(A8=H$1, "", 
   IF(
      (COUNTIFS(Winner, A8, Loser, H$1, Season, $A$1) + COUNTIFS(Winner, H$1, Loser, A8, Season, $A$1)) = 0, 
      "", 
      COUNTIFS(Winner, A8, Loser, H$1, Season, $A$1) / 
      (COUNTIFS(Winner, A8, Loser, H$1, Season, $A$1) + COUNTIFS(Winner, H$1, Loser, A8, Season, $A$1))
   )
)</f>
        <v/>
      </c>
      <c r="I8" s="9">
        <f>IF(A8=I$1, "", 
   IF(
      (COUNTIFS(Winner, A8, Loser, I$1, Season, $A$1) + COUNTIFS(Winner, I$1, Loser, A8, Season, $A$1)) = 0, 
      "", 
      COUNTIFS(Winner, A8, Loser, I$1, Season, $A$1) / 
      (COUNTIFS(Winner, A8, Loser, I$1, Season, $A$1) + COUNTIFS(Winner, I$1, Loser, A8, Season, $A$1))
   )
)</f>
        <v>1</v>
      </c>
      <c r="J8" s="9">
        <f>IF(A8=J$1, "", 
   IF(
      (COUNTIFS(Winner, A8, Loser, J$1, Season, $A$1) + COUNTIFS(Winner, J$1, Loser, A8, Season, $A$1)) = 0, 
      "", 
      COUNTIFS(Winner, A8, Loser, J$1, Season, $A$1) / 
      (COUNTIFS(Winner, A8, Loser, J$1, Season, $A$1) + COUNTIFS(Winner, J$1, Loser, A8, Season, $A$1))
   )
)</f>
        <v>0</v>
      </c>
      <c r="K8" s="9">
        <f>IF(A8=K$1, "", 
   IF(
      (COUNTIFS(Winner, A8, Loser, K$1, Season, $A$1) + COUNTIFS(Winner, K$1, Loser, A8, Season, $A$1)) = 0, 
      "", 
      COUNTIFS(Winner, A8, Loser, K$1, Season, $A$1) / 
      (COUNTIFS(Winner, A8, Loser, K$1, Season, $A$1) + COUNTIFS(Winner, K$1, Loser, A8, Season, $A$1))
   )
)</f>
        <v>0.5</v>
      </c>
      <c r="L8" s="9" t="str">
        <f>IF(A8=L$1, "", 
   IF(
      (COUNTIFS(Winner, A8, Loser, L$1, Season, $A$1) + COUNTIFS(Winner, L$1, Loser, A8, Season, $A$1)) = 0, 
      "", 
      COUNTIFS(Winner, A8, Loser, L$1, Season, $A$1) / 
      (COUNTIFS(Winner, A8, Loser, L$1, Season, $A$1) + COUNTIFS(Winner, L$1, Loser, A8, Season, $A$1))
   )
)</f>
        <v/>
      </c>
      <c r="M8" s="9" t="str">
        <f>IF(A8=M$1, "", 
   IF(
      (COUNTIFS(Winner, A8, Loser, M$1, Season, $A$1) + COUNTIFS(Winner, M$1, Loser, A8, Season, $A$1)) = 0, 
      "", 
      COUNTIFS(Winner, A8, Loser, M$1, Season, $A$1) / 
      (COUNTIFS(Winner, A8, Loser, M$1, Season, $A$1) + COUNTIFS(Winner, M$1, Loser, A8, Season, $A$1))
   )
)</f>
        <v/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" t="s">
        <v>13</v>
      </c>
      <c r="B9" s="9" t="str">
        <f>IF(A9=B$1, "", 
   IF(
      (COUNTIFS(Winner, A9, Loser, B$1, Season, $A$1) + COUNTIFS(Winner, B$1, Loser, A9, Season, $A$1)) = 0, 
      "", 
      COUNTIFS(Winner, A9, Loser, B$1, Season, $A$1) / 
      (COUNTIFS(Winner, A9, Loser, B$1, Season, $A$1) + COUNTIFS(Winner, B$1, Loser, A9, Season, $A$1))
   )
)</f>
        <v/>
      </c>
      <c r="C9" s="9" t="str">
        <f>IF(A9=C$1, "", 
   IF(
      (COUNTIFS(Winner, A9, Loser, C$1, Season, $A$1) + COUNTIFS(Winner, C$1, Loser, A9, Season, $A$1)) = 0, 
      "", 
      COUNTIFS(Winner, A9, Loser, C$1, Season, $A$1) / 
      (COUNTIFS(Winner, A9, Loser, C$1, Season, $A$1) + COUNTIFS(Winner, C$1, Loser, A9, Season, $A$1))
   )
)</f>
        <v/>
      </c>
      <c r="D9" s="9" t="str">
        <f>IF(A9=D$1, "", 
   IF(
      (COUNTIFS(Winner, A9, Loser, D$1, Season, $A$1) + COUNTIFS(Winner, D$1, Loser, A9, Season, $A$1)) = 0, 
      "", 
      COUNTIFS(Winner, A9, Loser, D$1, Season, $A$1) / 
      (COUNTIFS(Winner, A9, Loser, D$1, Season, $A$1) + COUNTIFS(Winner, D$1, Loser, A9, Season, $A$1))
   )
)</f>
        <v/>
      </c>
      <c r="E9" s="9" t="str">
        <f>IF(A9=E$1, "", 
   IF(
      (COUNTIFS(Winner, A9, Loser, E$1, Season, $A$1) + COUNTIFS(Winner, E$1, Loser, A9, Season, $A$1)) = 0, 
      "", 
      COUNTIFS(Winner, A9, Loser, E$1, Season, $A$1) / 
      (COUNTIFS(Winner, A9, Loser, E$1, Season, $A$1) + COUNTIFS(Winner, E$1, Loser, A9, Season, $A$1))
   )
)</f>
        <v/>
      </c>
      <c r="F9" s="9" t="str">
        <f>IF(A9=F$1, "", 
   IF(
      (COUNTIFS(Winner, A9, Loser, F$1, Season, $A$1) + COUNTIFS(Winner, F$1, Loser, A9, Season, $A$1)) = 0, 
      "", 
      COUNTIFS(Winner, A9, Loser, F$1, Season, $A$1) / 
      (COUNTIFS(Winner, A9, Loser, F$1, Season, $A$1) + COUNTIFS(Winner, F$1, Loser, A9, Season, $A$1))
   )
)</f>
        <v/>
      </c>
      <c r="G9" s="9" t="str">
        <f>IF(A9=G$1, "", 
   IF(
      (COUNTIFS(Winner, A9, Loser, G$1, Season, $A$1) + COUNTIFS(Winner, G$1, Loser, A9, Season, $A$1)) = 0, 
      "", 
      COUNTIFS(Winner, A9, Loser, G$1, Season, $A$1) / 
      (COUNTIFS(Winner, A9, Loser, G$1, Season, $A$1) + COUNTIFS(Winner, G$1, Loser, A9, Season, $A$1))
   )
)</f>
        <v/>
      </c>
      <c r="H9" s="9" t="str">
        <f>IF(A9=H$1, "", 
   IF(
      (COUNTIFS(Winner, A9, Loser, H$1, Season, $A$1) + COUNTIFS(Winner, H$1, Loser, A9, Season, $A$1)) = 0, 
      "", 
      COUNTIFS(Winner, A9, Loser, H$1, Season, $A$1) / 
      (COUNTIFS(Winner, A9, Loser, H$1, Season, $A$1) + COUNTIFS(Winner, H$1, Loser, A9, Season, $A$1))
   )
)</f>
        <v/>
      </c>
      <c r="I9" s="9" t="str">
        <f>IF(A9=I$1, "", 
   IF(
      (COUNTIFS(Winner, A9, Loser, I$1, Season, $A$1) + COUNTIFS(Winner, I$1, Loser, A9, Season, $A$1)) = 0, 
      "", 
      COUNTIFS(Winner, A9, Loser, I$1, Season, $A$1) / 
      (COUNTIFS(Winner, A9, Loser, I$1, Season, $A$1) + COUNTIFS(Winner, I$1, Loser, A9, Season, $A$1))
   )
)</f>
        <v/>
      </c>
      <c r="J9" s="9" t="str">
        <f>IF(A9=J$1, "", 
   IF(
      (COUNTIFS(Winner, A9, Loser, J$1, Season, $A$1) + COUNTIFS(Winner, J$1, Loser, A9, Season, $A$1)) = 0, 
      "", 
      COUNTIFS(Winner, A9, Loser, J$1, Season, $A$1) / 
      (COUNTIFS(Winner, A9, Loser, J$1, Season, $A$1) + COUNTIFS(Winner, J$1, Loser, A9, Season, $A$1))
   )
)</f>
        <v/>
      </c>
      <c r="K9" s="9" t="str">
        <f>IF(A9=K$1, "", 
   IF(
      (COUNTIFS(Winner, A9, Loser, K$1, Season, $A$1) + COUNTIFS(Winner, K$1, Loser, A9, Season, $A$1)) = 0, 
      "", 
      COUNTIFS(Winner, A9, Loser, K$1, Season, $A$1) / 
      (COUNTIFS(Winner, A9, Loser, K$1, Season, $A$1) + COUNTIFS(Winner, K$1, Loser, A9, Season, $A$1))
   )
)</f>
        <v/>
      </c>
      <c r="L9" s="9" t="str">
        <f>IF(A9=L$1, "", 
   IF(
      (COUNTIFS(Winner, A9, Loser, L$1, Season, $A$1) + COUNTIFS(Winner, L$1, Loser, A9, Season, $A$1)) = 0, 
      "", 
      COUNTIFS(Winner, A9, Loser, L$1, Season, $A$1) / 
      (COUNTIFS(Winner, A9, Loser, L$1, Season, $A$1) + COUNTIFS(Winner, L$1, Loser, A9, Season, $A$1))
   )
)</f>
        <v/>
      </c>
      <c r="M9" s="9" t="str">
        <f>IF(A9=M$1, "", 
   IF(
      (COUNTIFS(Winner, A9, Loser, M$1, Season, $A$1) + COUNTIFS(Winner, M$1, Loser, A9, Season, $A$1)) = 0, 
      "", 
      COUNTIFS(Winner, A9, Loser, M$1, Season, $A$1) / 
      (COUNTIFS(Winner, A9, Loser, M$1, Season, $A$1) + COUNTIFS(Winner, M$1, Loser, A9, Season, $A$1))
   )
)</f>
        <v/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" t="s">
        <v>15</v>
      </c>
      <c r="B10" s="9">
        <f>IF(A10=B$1, "", 
   IF(
      (COUNTIFS(Winner, A10, Loser, B$1, Season, $A$1) + COUNTIFS(Winner, B$1, Loser, A10, Season, $A$1)) = 0, 
      "", 
      COUNTIFS(Winner, A10, Loser, B$1, Season, $A$1) / 
      (COUNTIFS(Winner, A10, Loser, B$1, Season, $A$1) + COUNTIFS(Winner, B$1, Loser, A10, Season, $A$1))
   )
)</f>
        <v>0</v>
      </c>
      <c r="C10" s="9">
        <f>IF(A10=C$1, "", 
   IF(
      (COUNTIFS(Winner, A10, Loser, C$1, Season, $A$1) + COUNTIFS(Winner, C$1, Loser, A10, Season, $A$1)) = 0, 
      "", 
      COUNTIFS(Winner, A10, Loser, C$1, Season, $A$1) / 
      (COUNTIFS(Winner, A10, Loser, C$1, Season, $A$1) + COUNTIFS(Winner, C$1, Loser, A10, Season, $A$1))
   )
)</f>
        <v>0</v>
      </c>
      <c r="D10" s="9">
        <f>IF(A10=D$1, "", 
   IF(
      (COUNTIFS(Winner, A10, Loser, D$1, Season, $A$1) + COUNTIFS(Winner, D$1, Loser, A10, Season, $A$1)) = 0, 
      "", 
      COUNTIFS(Winner, A10, Loser, D$1, Season, $A$1) / 
      (COUNTIFS(Winner, A10, Loser, D$1, Season, $A$1) + COUNTIFS(Winner, D$1, Loser, A10, Season, $A$1))
   )
)</f>
        <v>0</v>
      </c>
      <c r="E10" s="9">
        <f>IF(A10=E$1, "", 
   IF(
      (COUNTIFS(Winner, A10, Loser, E$1, Season, $A$1) + COUNTIFS(Winner, E$1, Loser, A10, Season, $A$1)) = 0, 
      "", 
      COUNTIFS(Winner, A10, Loser, E$1, Season, $A$1) / 
      (COUNTIFS(Winner, A10, Loser, E$1, Season, $A$1) + COUNTIFS(Winner, E$1, Loser, A10, Season, $A$1))
   )
)</f>
        <v>1</v>
      </c>
      <c r="F10" s="9">
        <f>IF(A10=F$1, "", 
   IF(
      (COUNTIFS(Winner, A10, Loser, F$1, Season, $A$1) + COUNTIFS(Winner, F$1, Loser, A10, Season, $A$1)) = 0, 
      "", 
      COUNTIFS(Winner, A10, Loser, F$1, Season, $A$1) / 
      (COUNTIFS(Winner, A10, Loser, F$1, Season, $A$1) + COUNTIFS(Winner, F$1, Loser, A10, Season, $A$1))
   )
)</f>
        <v>0.5</v>
      </c>
      <c r="G10" s="9">
        <f>IF(A10=G$1, "", 
   IF(
      (COUNTIFS(Winner, A10, Loser, G$1, Season, $A$1) + COUNTIFS(Winner, G$1, Loser, A10, Season, $A$1)) = 0, 
      "", 
      COUNTIFS(Winner, A10, Loser, G$1, Season, $A$1) / 
      (COUNTIFS(Winner, A10, Loser, G$1, Season, $A$1) + COUNTIFS(Winner, G$1, Loser, A10, Season, $A$1))
   )
)</f>
        <v>0</v>
      </c>
      <c r="H10" s="9">
        <f>IF(A10=H$1, "", 
   IF(
      (COUNTIFS(Winner, A10, Loser, H$1, Season, $A$1) + COUNTIFS(Winner, H$1, Loser, A10, Season, $A$1)) = 0, 
      "", 
      COUNTIFS(Winner, A10, Loser, H$1, Season, $A$1) / 
      (COUNTIFS(Winner, A10, Loser, H$1, Season, $A$1) + COUNTIFS(Winner, H$1, Loser, A10, Season, $A$1))
   )
)</f>
        <v>0</v>
      </c>
      <c r="I10" s="9" t="str">
        <f>IF(A10=I$1, "", 
   IF(
      (COUNTIFS(Winner, A10, Loser, I$1, Season, $A$1) + COUNTIFS(Winner, I$1, Loser, A10, Season, $A$1)) = 0, 
      "", 
      COUNTIFS(Winner, A10, Loser, I$1, Season, $A$1) / 
      (COUNTIFS(Winner, A10, Loser, I$1, Season, $A$1) + COUNTIFS(Winner, I$1, Loser, A10, Season, $A$1))
   )
)</f>
        <v/>
      </c>
      <c r="J10" s="9">
        <f>IF(A10=J$1, "", 
   IF(
      (COUNTIFS(Winner, A10, Loser, J$1, Season, $A$1) + COUNTIFS(Winner, J$1, Loser, A10, Season, $A$1)) = 0, 
      "", 
      COUNTIFS(Winner, A10, Loser, J$1, Season, $A$1) / 
      (COUNTIFS(Winner, A10, Loser, J$1, Season, $A$1) + COUNTIFS(Winner, J$1, Loser, A10, Season, $A$1))
   )
)</f>
        <v>0</v>
      </c>
      <c r="K10" s="9">
        <f>IF(A10=K$1, "", 
   IF(
      (COUNTIFS(Winner, A10, Loser, K$1, Season, $A$1) + COUNTIFS(Winner, K$1, Loser, A10, Season, $A$1)) = 0, 
      "", 
      COUNTIFS(Winner, A10, Loser, K$1, Season, $A$1) / 
      (COUNTIFS(Winner, A10, Loser, K$1, Season, $A$1) + COUNTIFS(Winner, K$1, Loser, A10, Season, $A$1))
   )
)</f>
        <v>0.5</v>
      </c>
      <c r="L10" s="9" t="str">
        <f>IF(A10=L$1, "", 
   IF(
      (COUNTIFS(Winner, A10, Loser, L$1, Season, $A$1) + COUNTIFS(Winner, L$1, Loser, A10, Season, $A$1)) = 0, 
      "", 
      COUNTIFS(Winner, A10, Loser, L$1, Season, $A$1) / 
      (COUNTIFS(Winner, A10, Loser, L$1, Season, $A$1) + COUNTIFS(Winner, L$1, Loser, A10, Season, $A$1))
   )
)</f>
        <v/>
      </c>
      <c r="M10" s="9" t="str">
        <f>IF(A10=M$1, "", 
   IF(
      (COUNTIFS(Winner, A10, Loser, M$1, Season, $A$1) + COUNTIFS(Winner, M$1, Loser, A10, Season, $A$1)) = 0, 
      "", 
      COUNTIFS(Winner, A10, Loser, M$1, Season, $A$1) / 
      (COUNTIFS(Winner, A10, Loser, M$1, Season, $A$1) + COUNTIFS(Winner, M$1, Loser, A10, Season, $A$1))
   )
)</f>
        <v/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" t="s">
        <v>16</v>
      </c>
      <c r="B11" s="9">
        <f>IF(A11=B$1, "", 
   IF(
      (COUNTIFS(Winner, A11, Loser, B$1, Season, $A$1) + COUNTIFS(Winner, B$1, Loser, A11, Season, $A$1)) = 0, 
      "", 
      COUNTIFS(Winner, A11, Loser, B$1, Season, $A$1) / 
      (COUNTIFS(Winner, A11, Loser, B$1, Season, $A$1) + COUNTIFS(Winner, B$1, Loser, A11, Season, $A$1))
   )
)</f>
        <v>0.5</v>
      </c>
      <c r="C11" s="9">
        <f>IF(A11=C$1, "", 
   IF(
      (COUNTIFS(Winner, A11, Loser, C$1, Season, $A$1) + COUNTIFS(Winner, C$1, Loser, A11, Season, $A$1)) = 0, 
      "", 
      COUNTIFS(Winner, A11, Loser, C$1, Season, $A$1) / 
      (COUNTIFS(Winner, A11, Loser, C$1, Season, $A$1) + COUNTIFS(Winner, C$1, Loser, A11, Season, $A$1))
   )
)</f>
        <v>0</v>
      </c>
      <c r="D11" s="9">
        <f>IF(A11=D$1, "", 
   IF(
      (COUNTIFS(Winner, A11, Loser, D$1, Season, $A$1) + COUNTIFS(Winner, D$1, Loser, A11, Season, $A$1)) = 0, 
      "", 
      COUNTIFS(Winner, A11, Loser, D$1, Season, $A$1) / 
      (COUNTIFS(Winner, A11, Loser, D$1, Season, $A$1) + COUNTIFS(Winner, D$1, Loser, A11, Season, $A$1))
   )
)</f>
        <v>0.3333333333</v>
      </c>
      <c r="E11" s="9">
        <f>IF(A11=E$1, "", 
   IF(
      (COUNTIFS(Winner, A11, Loser, E$1, Season, $A$1) + COUNTIFS(Winner, E$1, Loser, A11, Season, $A$1)) = 0, 
      "", 
      COUNTIFS(Winner, A11, Loser, E$1, Season, $A$1) / 
      (COUNTIFS(Winner, A11, Loser, E$1, Season, $A$1) + COUNTIFS(Winner, E$1, Loser, A11, Season, $A$1))
   )
)</f>
        <v>0.5</v>
      </c>
      <c r="F11" s="9">
        <f>IF(A11=F$1, "", 
   IF(
      (COUNTIFS(Winner, A11, Loser, F$1, Season, $A$1) + COUNTIFS(Winner, F$1, Loser, A11, Season, $A$1)) = 0, 
      "", 
      COUNTIFS(Winner, A11, Loser, F$1, Season, $A$1) / 
      (COUNTIFS(Winner, A11, Loser, F$1, Season, $A$1) + COUNTIFS(Winner, F$1, Loser, A11, Season, $A$1))
   )
)</f>
        <v>0.5</v>
      </c>
      <c r="G11" s="9">
        <f>IF(A11=G$1, "", 
   IF(
      (COUNTIFS(Winner, A11, Loser, G$1, Season, $A$1) + COUNTIFS(Winner, G$1, Loser, A11, Season, $A$1)) = 0, 
      "", 
      COUNTIFS(Winner, A11, Loser, G$1, Season, $A$1) / 
      (COUNTIFS(Winner, A11, Loser, G$1, Season, $A$1) + COUNTIFS(Winner, G$1, Loser, A11, Season, $A$1))
   )
)</f>
        <v>0.5</v>
      </c>
      <c r="H11" s="9">
        <f>IF(A11=H$1, "", 
   IF(
      (COUNTIFS(Winner, A11, Loser, H$1, Season, $A$1) + COUNTIFS(Winner, H$1, Loser, A11, Season, $A$1)) = 0, 
      "", 
      COUNTIFS(Winner, A11, Loser, H$1, Season, $A$1) / 
      (COUNTIFS(Winner, A11, Loser, H$1, Season, $A$1) + COUNTIFS(Winner, H$1, Loser, A11, Season, $A$1))
   )
)</f>
        <v>1</v>
      </c>
      <c r="I11" s="9">
        <f>IF(A11=I$1, "", 
   IF(
      (COUNTIFS(Winner, A11, Loser, I$1, Season, $A$1) + COUNTIFS(Winner, I$1, Loser, A11, Season, $A$1)) = 0, 
      "", 
      COUNTIFS(Winner, A11, Loser, I$1, Season, $A$1) / 
      (COUNTIFS(Winner, A11, Loser, I$1, Season, $A$1) + COUNTIFS(Winner, I$1, Loser, A11, Season, $A$1))
   )
)</f>
        <v>1</v>
      </c>
      <c r="J11" s="9" t="str">
        <f>IF(A11=J$1, "", 
   IF(
      (COUNTIFS(Winner, A11, Loser, J$1, Season, $A$1) + COUNTIFS(Winner, J$1, Loser, A11, Season, $A$1)) = 0, 
      "", 
      COUNTIFS(Winner, A11, Loser, J$1, Season, $A$1) / 
      (COUNTIFS(Winner, A11, Loser, J$1, Season, $A$1) + COUNTIFS(Winner, J$1, Loser, A11, Season, $A$1))
   )
)</f>
        <v/>
      </c>
      <c r="K11" s="9">
        <f>IF(A11=K$1, "", 
   IF(
      (COUNTIFS(Winner, A11, Loser, K$1, Season, $A$1) + COUNTIFS(Winner, K$1, Loser, A11, Season, $A$1)) = 0, 
      "", 
      COUNTIFS(Winner, A11, Loser, K$1, Season, $A$1) / 
      (COUNTIFS(Winner, A11, Loser, K$1, Season, $A$1) + COUNTIFS(Winner, K$1, Loser, A11, Season, $A$1))
   )
)</f>
        <v>1</v>
      </c>
      <c r="L11" s="9" t="str">
        <f>IF(A11=L$1, "", 
   IF(
      (COUNTIFS(Winner, A11, Loser, L$1, Season, $A$1) + COUNTIFS(Winner, L$1, Loser, A11, Season, $A$1)) = 0, 
      "", 
      COUNTIFS(Winner, A11, Loser, L$1, Season, $A$1) / 
      (COUNTIFS(Winner, A11, Loser, L$1, Season, $A$1) + COUNTIFS(Winner, L$1, Loser, A11, Season, $A$1))
   )
)</f>
        <v/>
      </c>
      <c r="M11" s="9" t="str">
        <f>IF(A11=M$1, "", 
   IF(
      (COUNTIFS(Winner, A11, Loser, M$1, Season, $A$1) + COUNTIFS(Winner, M$1, Loser, A11, Season, $A$1)) = 0, 
      "", 
      COUNTIFS(Winner, A11, Loser, M$1, Season, $A$1) / 
      (COUNTIFS(Winner, A11, Loser, M$1, Season, $A$1) + COUNTIFS(Winner, M$1, Loser, A11, Season, $A$1))
   )
)</f>
        <v/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" t="s">
        <v>17</v>
      </c>
      <c r="B12" s="9" t="str">
        <f>IF(A12=B$1, "", 
   IF(
      (COUNTIFS(Winner, A12, Loser, B$1, Season, $A$1) + COUNTIFS(Winner, B$1, Loser, A12, Season, $A$1)) = 0, 
      "", 
      COUNTIFS(Winner, A12, Loser, B$1, Season, $A$1) / 
      (COUNTIFS(Winner, A12, Loser, B$1, Season, $A$1) + COUNTIFS(Winner, B$1, Loser, A12, Season, $A$1))
   )
)</f>
        <v/>
      </c>
      <c r="C12" s="9" t="str">
        <f>IF(A12=C$1, "", 
   IF(
      (COUNTIFS(Winner, A12, Loser, C$1, Season, $A$1) + COUNTIFS(Winner, C$1, Loser, A12, Season, $A$1)) = 0, 
      "", 
      COUNTIFS(Winner, A12, Loser, C$1, Season, $A$1) / 
      (COUNTIFS(Winner, A12, Loser, C$1, Season, $A$1) + COUNTIFS(Winner, C$1, Loser, A12, Season, $A$1))
   )
)</f>
        <v/>
      </c>
      <c r="D12" s="9" t="str">
        <f>IF(A12=D$1, "", 
   IF(
      (COUNTIFS(Winner, A12, Loser, D$1, Season, $A$1) + COUNTIFS(Winner, D$1, Loser, A12, Season, $A$1)) = 0, 
      "", 
      COUNTIFS(Winner, A12, Loser, D$1, Season, $A$1) / 
      (COUNTIFS(Winner, A12, Loser, D$1, Season, $A$1) + COUNTIFS(Winner, D$1, Loser, A12, Season, $A$1))
   )
)</f>
        <v/>
      </c>
      <c r="E12" s="9" t="str">
        <f>IF(A12=E$1, "", 
   IF(
      (COUNTIFS(Winner, A12, Loser, E$1, Season, $A$1) + COUNTIFS(Winner, E$1, Loser, A12, Season, $A$1)) = 0, 
      "", 
      COUNTIFS(Winner, A12, Loser, E$1, Season, $A$1) / 
      (COUNTIFS(Winner, A12, Loser, E$1, Season, $A$1) + COUNTIFS(Winner, E$1, Loser, A12, Season, $A$1))
   )
)</f>
        <v/>
      </c>
      <c r="F12" s="9" t="str">
        <f>IF(A12=F$1, "", 
   IF(
      (COUNTIFS(Winner, A12, Loser, F$1, Season, $A$1) + COUNTIFS(Winner, F$1, Loser, A12, Season, $A$1)) = 0, 
      "", 
      COUNTIFS(Winner, A12, Loser, F$1, Season, $A$1) / 
      (COUNTIFS(Winner, A12, Loser, F$1, Season, $A$1) + COUNTIFS(Winner, F$1, Loser, A12, Season, $A$1))
   )
)</f>
        <v/>
      </c>
      <c r="G12" s="9" t="str">
        <f>IF(A12=G$1, "", 
   IF(
      (COUNTIFS(Winner, A12, Loser, G$1, Season, $A$1) + COUNTIFS(Winner, G$1, Loser, A12, Season, $A$1)) = 0, 
      "", 
      COUNTIFS(Winner, A12, Loser, G$1, Season, $A$1) / 
      (COUNTIFS(Winner, A12, Loser, G$1, Season, $A$1) + COUNTIFS(Winner, G$1, Loser, A12, Season, $A$1))
   )
)</f>
        <v/>
      </c>
      <c r="H12" s="9" t="str">
        <f>IF(A12=H$1, "", 
   IF(
      (COUNTIFS(Winner, A12, Loser, H$1, Season, $A$1) + COUNTIFS(Winner, H$1, Loser, A12, Season, $A$1)) = 0, 
      "", 
      COUNTIFS(Winner, A12, Loser, H$1, Season, $A$1) / 
      (COUNTIFS(Winner, A12, Loser, H$1, Season, $A$1) + COUNTIFS(Winner, H$1, Loser, A12, Season, $A$1))
   )
)</f>
        <v/>
      </c>
      <c r="I12" s="9" t="str">
        <f>IF(A12=I$1, "", 
   IF(
      (COUNTIFS(Winner, A12, Loser, I$1, Season, $A$1) + COUNTIFS(Winner, I$1, Loser, A12, Season, $A$1)) = 0, 
      "", 
      COUNTIFS(Winner, A12, Loser, I$1, Season, $A$1) / 
      (COUNTIFS(Winner, A12, Loser, I$1, Season, $A$1) + COUNTIFS(Winner, I$1, Loser, A12, Season, $A$1))
   )
)</f>
        <v/>
      </c>
      <c r="J12" s="9" t="str">
        <f>IF(A12=J$1, "", 
   IF(
      (COUNTIFS(Winner, A12, Loser, J$1, Season, $A$1) + COUNTIFS(Winner, J$1, Loser, A12, Season, $A$1)) = 0, 
      "", 
      COUNTIFS(Winner, A12, Loser, J$1, Season, $A$1) / 
      (COUNTIFS(Winner, A12, Loser, J$1, Season, $A$1) + COUNTIFS(Winner, J$1, Loser, A12, Season, $A$1))
   )
)</f>
        <v/>
      </c>
      <c r="K12" s="9" t="str">
        <f>IF(A12=K$1, "", 
   IF(
      (COUNTIFS(Winner, A12, Loser, K$1, Season, $A$1) + COUNTIFS(Winner, K$1, Loser, A12, Season, $A$1)) = 0, 
      "", 
      COUNTIFS(Winner, A12, Loser, K$1, Season, $A$1) / 
      (COUNTIFS(Winner, A12, Loser, K$1, Season, $A$1) + COUNTIFS(Winner, K$1, Loser, A12, Season, $A$1))
   )
)</f>
        <v/>
      </c>
      <c r="L12" s="9" t="str">
        <f>IF(A12=L$1, "", 
   IF(
      (COUNTIFS(Winner, A12, Loser, L$1, Season, $A$1) + COUNTIFS(Winner, L$1, Loser, A12, Season, $A$1)) = 0, 
      "", 
      COUNTIFS(Winner, A12, Loser, L$1, Season, $A$1) / 
      (COUNTIFS(Winner, A12, Loser, L$1, Season, $A$1) + COUNTIFS(Winner, L$1, Loser, A12, Season, $A$1))
   )
)</f>
        <v/>
      </c>
      <c r="M12" s="9" t="str">
        <f>IF(A12=M$1, "", 
   IF(
      (COUNTIFS(Winner, A12, Loser, M$1, Season, $A$1) + COUNTIFS(Winner, M$1, Loser, A12, Season, $A$1)) = 0, 
      "", 
      COUNTIFS(Winner, A12, Loser, M$1, Season, $A$1) / 
      (COUNTIFS(Winner, A12, Loser, M$1, Season, $A$1) + COUNTIFS(Winner, M$1, Loser, A12, Season, $A$1))
   )
)</f>
        <v/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 t="s">
        <v>19</v>
      </c>
      <c r="B13" s="9">
        <f>IF(A13=B$1, "", 
   IF(
      (COUNTIFS(Winner, A13, Loser, B$1, Season, $A$1) + COUNTIFS(Winner, B$1, Loser, A13, Season, $A$1)) = 0, 
      "", 
      COUNTIFS(Winner, A13, Loser, B$1, Season, $A$1) / 
      (COUNTIFS(Winner, A13, Loser, B$1, Season, $A$1) + COUNTIFS(Winner, B$1, Loser, A13, Season, $A$1))
   )
)</f>
        <v>0.5</v>
      </c>
      <c r="C13" s="9">
        <f>IF(A13=C$1, "", 
   IF(
      (COUNTIFS(Winner, A13, Loser, C$1, Season, $A$1) + COUNTIFS(Winner, C$1, Loser, A13, Season, $A$1)) = 0, 
      "", 
      COUNTIFS(Winner, A13, Loser, C$1, Season, $A$1) / 
      (COUNTIFS(Winner, A13, Loser, C$1, Season, $A$1) + COUNTIFS(Winner, C$1, Loser, A13, Season, $A$1))
   )
)</f>
        <v>1</v>
      </c>
      <c r="D13" s="9">
        <f>IF(A13=D$1, "", 
   IF(
      (COUNTIFS(Winner, A13, Loser, D$1, Season, $A$1) + COUNTIFS(Winner, D$1, Loser, A13, Season, $A$1)) = 0, 
      "", 
      COUNTIFS(Winner, A13, Loser, D$1, Season, $A$1) / 
      (COUNTIFS(Winner, A13, Loser, D$1, Season, $A$1) + COUNTIFS(Winner, D$1, Loser, A13, Season, $A$1))
   )
)</f>
        <v>0</v>
      </c>
      <c r="E13" s="9">
        <f>IF(A13=E$1, "", 
   IF(
      (COUNTIFS(Winner, A13, Loser, E$1, Season, $A$1) + COUNTIFS(Winner, E$1, Loser, A13, Season, $A$1)) = 0, 
      "", 
      COUNTIFS(Winner, A13, Loser, E$1, Season, $A$1) / 
      (COUNTIFS(Winner, A13, Loser, E$1, Season, $A$1) + COUNTIFS(Winner, E$1, Loser, A13, Season, $A$1))
   )
)</f>
        <v>1</v>
      </c>
      <c r="F13" s="9">
        <f>IF(A13=F$1, "", 
   IF(
      (COUNTIFS(Winner, A13, Loser, F$1, Season, $A$1) + COUNTIFS(Winner, F$1, Loser, A13, Season, $A$1)) = 0, 
      "", 
      COUNTIFS(Winner, A13, Loser, F$1, Season, $A$1) / 
      (COUNTIFS(Winner, A13, Loser, F$1, Season, $A$1) + COUNTIFS(Winner, F$1, Loser, A13, Season, $A$1))
   )
)</f>
        <v>0</v>
      </c>
      <c r="G13" s="9">
        <f>IF(A13=G$1, "", 
   IF(
      (COUNTIFS(Winner, A13, Loser, G$1, Season, $A$1) + COUNTIFS(Winner, G$1, Loser, A13, Season, $A$1)) = 0, 
      "", 
      COUNTIFS(Winner, A13, Loser, G$1, Season, $A$1) / 
      (COUNTIFS(Winner, A13, Loser, G$1, Season, $A$1) + COUNTIFS(Winner, G$1, Loser, A13, Season, $A$1))
   )
)</f>
        <v>0</v>
      </c>
      <c r="H13" s="9"/>
      <c r="I13" s="9">
        <f>IF(A13=I$1, "", 
   IF(
      (COUNTIFS(Winner, A13, Loser, I$1, Season, $A$1) + COUNTIFS(Winner, I$1, Loser, A13, Season, $A$1)) = 0, 
      "", 
      COUNTIFS(Winner, A13, Loser, I$1, Season, $A$1) / 
      (COUNTIFS(Winner, A13, Loser, I$1, Season, $A$1) + COUNTIFS(Winner, I$1, Loser, A13, Season, $A$1))
   )
)</f>
        <v>0.5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B14" s="9" t="str">
        <f>IF(A14=B$1, "", 
   IF(
      (COUNTIFS(Winner, A14, Loser, B$1, Season, $A$1) + COUNTIFS(Winner, B$1, Loser, A14, Season, $A$1)) = 0, 
      "", 
      COUNTIFS(Winner, A14, Loser, B$1, Season, $A$1) / 
      (COUNTIFS(Winner, A14, Loser, B$1, Season, $A$1) + COUNTIFS(Winner, B$1, Loser, A14, Season, $A$1))
   )
)</f>
        <v/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A1">
      <formula1>"2019,2020,2021"</formula1>
    </dataValidation>
    <dataValidation type="list" allowBlank="1" showErrorMessage="1" sqref="B1:M1 A2:A13">
      <formula1>"Luke,Kadin,Griffin,Ruben,Mitch,Jacob,Andrew,Raghav,Connor,Kyle,Michael,Nick"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0.75"/>
    <col customWidth="1" min="3" max="3" width="9.63"/>
    <col customWidth="1" min="4" max="4" width="12.5"/>
    <col customWidth="1" min="5" max="5" width="11.13"/>
    <col customWidth="1" min="6" max="6" width="10.5"/>
    <col customWidth="1" min="7" max="7" width="10.63"/>
    <col customWidth="1" min="8" max="8" width="11.5"/>
    <col customWidth="1" min="9" max="9" width="11.63"/>
    <col customWidth="1" min="10" max="10" width="9.88"/>
    <col customWidth="1" min="11" max="11" width="9.25"/>
    <col customWidth="1" min="12" max="13" width="11.75"/>
  </cols>
  <sheetData>
    <row r="1">
      <c r="A1" s="1" t="s">
        <v>30</v>
      </c>
      <c r="B1" s="10" t="s">
        <v>9</v>
      </c>
      <c r="C1" s="10" t="s">
        <v>8</v>
      </c>
      <c r="D1" s="10" t="s">
        <v>14</v>
      </c>
      <c r="E1" s="10" t="s">
        <v>12</v>
      </c>
      <c r="F1" s="10" t="s">
        <v>11</v>
      </c>
      <c r="G1" s="10" t="s">
        <v>10</v>
      </c>
      <c r="H1" s="10" t="s">
        <v>18</v>
      </c>
      <c r="I1" s="10" t="s">
        <v>15</v>
      </c>
      <c r="J1" s="10" t="s">
        <v>16</v>
      </c>
      <c r="K1" s="10" t="s">
        <v>19</v>
      </c>
      <c r="L1" s="10" t="s">
        <v>13</v>
      </c>
      <c r="M1" s="10" t="s">
        <v>17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9</v>
      </c>
      <c r="B2" s="9" t="str">
        <f>IF(A2=B$1, "", 
   IF(
      (COUNTIFS(Winner, A2, Loser, B$1) + COUNTIFS(Winner, B$1, Loser, A2)) = 0, 
      "", 
      COUNTIFS(Winner, A2, Loser, B$1) / 
      (COUNTIFS(Winner, A2, Loser, B$1) + COUNTIFS(Winner, B$1, Loser, A2))
   )
)</f>
        <v/>
      </c>
      <c r="C2" s="9">
        <f>IF(A2=C$1, "", 
   IF(
      (COUNTIFS(Winner, A2, Loser, C$1) + COUNTIFS(Winner, C$1, Loser, A2)) = 0, 
      "", 
      COUNTIFS(Winner, A2, Loser, C$1) / 
      (COUNTIFS(Winner, A2, Loser, C$1) + COUNTIFS(Winner, C$1, Loser, A2))
   )
)</f>
        <v>0.6666666667</v>
      </c>
      <c r="D2" s="9">
        <f>IF(A2=D$1, "", 
   IF(
      (COUNTIFS(Winner, A2, Loser, D$1) + COUNTIFS(Winner, D$1, Loser, A2)) = 0, 
      "", 
      COUNTIFS(Winner, A2, Loser, D$1) / 
      (COUNTIFS(Winner, A2, Loser, D$1) + COUNTIFS(Winner, D$1, Loser, A2))
   )
)</f>
        <v>0.2</v>
      </c>
      <c r="E2" s="9">
        <f>IF(A2=E$1, "", 
   IF(
      (COUNTIFS(Winner, A2, Loser, E$1) + COUNTIFS(Winner, E$1, Loser, A2)) = 0, 
      "", 
      COUNTIFS(Winner, A2, Loser, E$1) / 
      (COUNTIFS(Winner, A2, Loser, E$1) + COUNTIFS(Winner, E$1, Loser, A2))
   )
)</f>
        <v>0.8</v>
      </c>
      <c r="F2" s="9">
        <f>IF(A2=F$1, "", 
   IF(
      (COUNTIFS(Winner, A2, Loser, F$1) + COUNTIFS(Winner, F$1, Loser, A2)) = 0, 
      "", 
      COUNTIFS(Winner, A2, Loser, F$1) / 
      (COUNTIFS(Winner, A2, Loser, F$1) + COUNTIFS(Winner, F$1, Loser, A2))
   )
)</f>
        <v>0.25</v>
      </c>
      <c r="G2" s="9">
        <f>IF(A2=G$1, "", 
   IF(
      (COUNTIFS(Winner, A2, Loser, G$1) + COUNTIFS(Winner, G$1, Loser, A2)) = 0, 
      "", 
      COUNTIFS(Winner, A2, Loser, G$1) / 
      (COUNTIFS(Winner, A2, Loser, G$1) + COUNTIFS(Winner, G$1, Loser, A2))
   )
)</f>
        <v>0.5</v>
      </c>
      <c r="H2" s="9">
        <f>IF(A2=H$1, "", 
   IF(
      (COUNTIFS(Winner, A2, Loser, H$1) + COUNTIFS(Winner, H$1, Loser, A2)) = 0, 
      "", 
      COUNTIFS(Winner, A2, Loser, H$1) / 
      (COUNTIFS(Winner, A2, Loser, H$1) + COUNTIFS(Winner, H$1, Loser, A2))
   )
)</f>
        <v>0.6666666667</v>
      </c>
      <c r="I2" s="9">
        <f>IF(A2=I$1, "", 
   IF(
      (COUNTIFS(Winner, A2, Loser, I$1) + COUNTIFS(Winner, I$1, Loser, A2)) = 0, 
      "", 
      COUNTIFS(Winner, A2, Loser, I$1) / 
      (COUNTIFS(Winner, A2, Loser, I$1) + COUNTIFS(Winner, I$1, Loser, A2))
   )
)</f>
        <v>0.5</v>
      </c>
      <c r="J2" s="9">
        <f>IF(A2=J$1, "", 
   IF(
      (COUNTIFS(Winner, A2, Loser, J$1) + COUNTIFS(Winner, J$1, Loser, A2)) = 0, 
      "", 
      COUNTIFS(Winner, A2, Loser, J$1) / 
      (COUNTIFS(Winner, A2, Loser, J$1) + COUNTIFS(Winner, J$1, Loser, A2))
   )
)</f>
        <v>0.6</v>
      </c>
      <c r="K2" s="9">
        <f>IF(A2=K$1, "", 
   IF(
      (COUNTIFS(Winner, A2, Loser, K$1) + COUNTIFS(Winner, K$1, Loser, A2)) = 0, 
      "", 
      COUNTIFS(Winner, A2, Loser, K$1) / 
      (COUNTIFS(Winner, A2, Loser, K$1) + COUNTIFS(Winner, K$1, Loser, A2))
   )
)</f>
        <v>0.75</v>
      </c>
      <c r="L2" s="9">
        <f>IF(A2=L$1, "", 
   IF(
      (COUNTIFS(Winner, A2, Loser, L$1) + COUNTIFS(Winner, L$1, Loser, A2)) = 0, 
      "", 
      COUNTIFS(Winner, A2, Loser, L$1) / 
      (COUNTIFS(Winner, A2, Loser, L$1) + COUNTIFS(Winner, L$1, Loser, A2))
   )
)</f>
        <v>1</v>
      </c>
      <c r="M2" s="9">
        <f>IF(A2=M$1, "", 
   IF(
      (COUNTIFS(Winner, A2, Loser, M$1) + COUNTIFS(Winner, M$1, Loser, A2)) = 0, 
      "", 
      COUNTIFS(Winner, A2, Loser, M$1) / 
      (COUNTIFS(Winner, A2, Loser, M$1) + COUNTIFS(Winner, M$1, Loser, A2))
   )
)</f>
        <v>1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8</v>
      </c>
      <c r="B3" s="9">
        <f>IF(A3=B$1, "", 
   IF(
      (COUNTIFS(Winner, A3, Loser, B$1) + COUNTIFS(Winner, B$1, Loser, A3)) = 0, 
      "", 
      COUNTIFS(Winner, A3, Loser, B$1) / 
      (COUNTIFS(Winner, A3, Loser, B$1) + COUNTIFS(Winner, B$1, Loser, A3))
   )
)</f>
        <v>0.3333333333</v>
      </c>
      <c r="C3" s="9" t="str">
        <f>IF(A3=C$1, "", 
   IF(
      (COUNTIFS(Winner, A3, Loser, C$1) + COUNTIFS(Winner, C$1, Loser, A3)) = 0, 
      "", 
      COUNTIFS(Winner, A3, Loser, C$1) / 
      (COUNTIFS(Winner, A3, Loser, C$1) + COUNTIFS(Winner, C$1, Loser, A3))
   )
)</f>
        <v/>
      </c>
      <c r="D3" s="9">
        <f>IF(A3=D$1, "", 
   IF(
      (COUNTIFS(Winner, A3, Loser, D$1) + COUNTIFS(Winner, D$1, Loser, A3)) = 0, 
      "", 
      COUNTIFS(Winner, A3, Loser, D$1) / 
      (COUNTIFS(Winner, A3, Loser, D$1) + COUNTIFS(Winner, D$1, Loser, A3))
   )
)</f>
        <v>0.8</v>
      </c>
      <c r="E3" s="9">
        <f>IF(A3=E$1, "", 
   IF(
      (COUNTIFS(Winner, A3, Loser, E$1) + COUNTIFS(Winner, E$1, Loser, A3)) = 0, 
      "", 
      COUNTIFS(Winner, A3, Loser, E$1) / 
      (COUNTIFS(Winner, A3, Loser, E$1) + COUNTIFS(Winner, E$1, Loser, A3))
   )
)</f>
        <v>0.5714285714</v>
      </c>
      <c r="F3" s="9">
        <f>IF(A3=F$1, "", 
   IF(
      (COUNTIFS(Winner, A3, Loser, F$1) + COUNTIFS(Winner, F$1, Loser, A3)) = 0, 
      "", 
      COUNTIFS(Winner, A3, Loser, F$1) / 
      (COUNTIFS(Winner, A3, Loser, F$1) + COUNTIFS(Winner, F$1, Loser, A3))
   )
)</f>
        <v>0.75</v>
      </c>
      <c r="G3" s="9">
        <f>IF(A3=G$1, "", 
   IF(
      (COUNTIFS(Winner, A3, Loser, G$1) + COUNTIFS(Winner, G$1, Loser, A3)) = 0, 
      "", 
      COUNTIFS(Winner, A3, Loser, G$1) / 
      (COUNTIFS(Winner, A3, Loser, G$1) + COUNTIFS(Winner, G$1, Loser, A3))
   )
)</f>
        <v>0.3333333333</v>
      </c>
      <c r="H3" s="9">
        <f>IF(A3=H$1, "", 
   IF(
      (COUNTIFS(Winner, A3, Loser, H$1) + COUNTIFS(Winner, H$1, Loser, A3)) = 0, 
      "", 
      COUNTIFS(Winner, A3, Loser, H$1) / 
      (COUNTIFS(Winner, A3, Loser, H$1) + COUNTIFS(Winner, H$1, Loser, A3))
   )
)</f>
        <v>0.3333333333</v>
      </c>
      <c r="I3" s="9">
        <f>IF(A3=I$1, "", 
   IF(
      (COUNTIFS(Winner, A3, Loser, I$1) + COUNTIFS(Winner, I$1, Loser, A3)) = 0, 
      "", 
      COUNTIFS(Winner, A3, Loser, I$1) / 
      (COUNTIFS(Winner, A3, Loser, I$1) + COUNTIFS(Winner, I$1, Loser, A3))
   )
)</f>
        <v>0.8</v>
      </c>
      <c r="J3" s="9">
        <f>IF(A3=J$1, "", 
   IF(
      (COUNTIFS(Winner, A3, Loser, J$1) + COUNTIFS(Winner, J$1, Loser, A3)) = 0, 
      "", 
      COUNTIFS(Winner, A3, Loser, J$1) / 
      (COUNTIFS(Winner, A3, Loser, J$1) + COUNTIFS(Winner, J$1, Loser, A3))
   )
)</f>
        <v>0.6666666667</v>
      </c>
      <c r="K3" s="9">
        <f>IF(A3=K$1, "", 
   IF(
      (COUNTIFS(Winner, A3, Loser, K$1) + COUNTIFS(Winner, K$1, Loser, A3)) = 0, 
      "", 
      COUNTIFS(Winner, A3, Loser, K$1) / 
      (COUNTIFS(Winner, A3, Loser, K$1) + COUNTIFS(Winner, K$1, Loser, A3))
   )
)</f>
        <v>0</v>
      </c>
      <c r="L3" s="9">
        <f>IF(A3=L$1, "", 
   IF(
      (COUNTIFS(Winner, A3, Loser, L$1) + COUNTIFS(Winner, L$1, Loser, A3)) = 0, 
      "", 
      COUNTIFS(Winner, A3, Loser, L$1) / 
      (COUNTIFS(Winner, A3, Loser, L$1) + COUNTIFS(Winner, L$1, Loser, A3))
   )
)</f>
        <v>1</v>
      </c>
      <c r="M3" s="9">
        <f>IF(A3=M$1, "", 
   IF(
      (COUNTIFS(Winner, A3, Loser, M$1) + COUNTIFS(Winner, M$1, Loser, A3)) = 0, 
      "", 
      COUNTIFS(Winner, A3, Loser, M$1) / 
      (COUNTIFS(Winner, A3, Loser, M$1) + COUNTIFS(Winner, M$1, Loser, A3))
   )
)</f>
        <v>1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14</v>
      </c>
      <c r="B4" s="9">
        <f>IF(A4=B$1, "", 
   IF(
      (COUNTIFS(Winner, A4, Loser, B$1) + COUNTIFS(Winner, B$1, Loser, A4)) = 0, 
      "", 
      COUNTIFS(Winner, A4, Loser, B$1) / 
      (COUNTIFS(Winner, A4, Loser, B$1) + COUNTIFS(Winner, B$1, Loser, A4))
   )
)</f>
        <v>0.8</v>
      </c>
      <c r="C4" s="9">
        <f>IF(A4=C$1, "", 
   IF(
      (COUNTIFS(Winner, A4, Loser, C$1) + COUNTIFS(Winner, C$1, Loser, A4)) = 0, 
      "", 
      COUNTIFS(Winner, A4, Loser, C$1) / 
      (COUNTIFS(Winner, A4, Loser, C$1) + COUNTIFS(Winner, C$1, Loser, A4))
   )
)</f>
        <v>0.2</v>
      </c>
      <c r="D4" s="9" t="str">
        <f>IF(A4=D$1, "", 
   IF(
      (COUNTIFS(Winner, A4, Loser, D$1) + COUNTIFS(Winner, D$1, Loser, A4)) = 0, 
      "", 
      COUNTIFS(Winner, A4, Loser, D$1) / 
      (COUNTIFS(Winner, A4, Loser, D$1) + COUNTIFS(Winner, D$1, Loser, A4))
   )
)</f>
        <v/>
      </c>
      <c r="E4" s="9">
        <f>IF(A4=E$1, "", 
   IF(
      (COUNTIFS(Winner, A4, Loser, E$1) + COUNTIFS(Winner, E$1, Loser, A4)) = 0, 
      "", 
      COUNTIFS(Winner, A4, Loser, E$1) / 
      (COUNTIFS(Winner, A4, Loser, E$1) + COUNTIFS(Winner, E$1, Loser, A4))
   )
)</f>
        <v>0.6666666667</v>
      </c>
      <c r="F4" s="9">
        <f>IF(A4=F$1, "", 
   IF(
      (COUNTIFS(Winner, A4, Loser, F$1) + COUNTIFS(Winner, F$1, Loser, A4)) = 0, 
      "", 
      COUNTIFS(Winner, A4, Loser, F$1) / 
      (COUNTIFS(Winner, A4, Loser, F$1) + COUNTIFS(Winner, F$1, Loser, A4))
   )
)</f>
        <v>0.7142857143</v>
      </c>
      <c r="G4" s="9">
        <f>IF(A4=G$1, "", 
   IF(
      (COUNTIFS(Winner, A4, Loser, G$1) + COUNTIFS(Winner, G$1, Loser, A4)) = 0, 
      "", 
      COUNTIFS(Winner, A4, Loser, G$1) / 
      (COUNTIFS(Winner, A4, Loser, G$1) + COUNTIFS(Winner, G$1, Loser, A4))
   )
)</f>
        <v>0.5</v>
      </c>
      <c r="H4" s="9">
        <f>IF(A4=H$1, "", 
   IF(
      (COUNTIFS(Winner, A4, Loser, H$1) + COUNTIFS(Winner, H$1, Loser, A4)) = 0, 
      "", 
      COUNTIFS(Winner, A4, Loser, H$1) / 
      (COUNTIFS(Winner, A4, Loser, H$1) + COUNTIFS(Winner, H$1, Loser, A4))
   )
)</f>
        <v>0.4</v>
      </c>
      <c r="I4" s="9">
        <f>IF(A4=I$1, "", 
   IF(
      (COUNTIFS(Winner, A4, Loser, I$1) + COUNTIFS(Winner, I$1, Loser, A4)) = 0, 
      "", 
      COUNTIFS(Winner, A4, Loser, I$1) / 
      (COUNTIFS(Winner, A4, Loser, I$1) + COUNTIFS(Winner, I$1, Loser, A4))
   )
)</f>
        <v>0.4285714286</v>
      </c>
      <c r="J4" s="9">
        <f>IF(A4=J$1, "", 
   IF(
      (COUNTIFS(Winner, A4, Loser, J$1) + COUNTIFS(Winner, J$1, Loser, A4)) = 0, 
      "", 
      COUNTIFS(Winner, A4, Loser, J$1) / 
      (COUNTIFS(Winner, A4, Loser, J$1) + COUNTIFS(Winner, J$1, Loser, A4))
   )
)</f>
        <v>0.6666666667</v>
      </c>
      <c r="K4" s="9">
        <f>IF(A4=K$1, "", 
   IF(
      (COUNTIFS(Winner, A4, Loser, K$1) + COUNTIFS(Winner, K$1, Loser, A4)) = 0, 
      "", 
      COUNTIFS(Winner, A4, Loser, K$1) / 
      (COUNTIFS(Winner, A4, Loser, K$1) + COUNTIFS(Winner, K$1, Loser, A4))
   )
)</f>
        <v>1</v>
      </c>
      <c r="L4" s="9">
        <f>IF(A4=L$1, "", 
   IF(
      (COUNTIFS(Winner, A4, Loser, L$1) + COUNTIFS(Winner, L$1, Loser, A4)) = 0, 
      "", 
      COUNTIFS(Winner, A4, Loser, L$1) / 
      (COUNTIFS(Winner, A4, Loser, L$1) + COUNTIFS(Winner, L$1, Loser, A4))
   )
)</f>
        <v>1</v>
      </c>
      <c r="M4" s="9">
        <f>IF(A4=M$1, "", 
   IF(
      (COUNTIFS(Winner, A4, Loser, M$1) + COUNTIFS(Winner, M$1, Loser, A4)) = 0, 
      "", 
      COUNTIFS(Winner, A4, Loser, M$1) / 
      (COUNTIFS(Winner, A4, Loser, M$1) + COUNTIFS(Winner, M$1, Loser, A4))
   )
)</f>
        <v>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 t="s">
        <v>12</v>
      </c>
      <c r="B5" s="9">
        <f>IF(A5=B$1, "", 
   IF(
      (COUNTIFS(Winner, A5, Loser, B$1) + COUNTIFS(Winner, B$1, Loser, A5)) = 0, 
      "", 
      COUNTIFS(Winner, A5, Loser, B$1) / 
      (COUNTIFS(Winner, A5, Loser, B$1) + COUNTIFS(Winner, B$1, Loser, A5))
   )
)</f>
        <v>0.2</v>
      </c>
      <c r="C5" s="9">
        <f>IF(A5=C$1, "", 
   IF(
      (COUNTIFS(Winner, A5, Loser, C$1) + COUNTIFS(Winner, C$1, Loser, A5)) = 0, 
      "", 
      COUNTIFS(Winner, A5, Loser, C$1) / 
      (COUNTIFS(Winner, A5, Loser, C$1) + COUNTIFS(Winner, C$1, Loser, A5))
   )
)</f>
        <v>0.4285714286</v>
      </c>
      <c r="D5" s="9">
        <f>IF(A5=D$1, "", 
   IF(
      (COUNTIFS(Winner, A5, Loser, D$1) + COUNTIFS(Winner, D$1, Loser, A5)) = 0, 
      "", 
      COUNTIFS(Winner, A5, Loser, D$1) / 
      (COUNTIFS(Winner, A5, Loser, D$1) + COUNTIFS(Winner, D$1, Loser, A5))
   )
)</f>
        <v>0.3333333333</v>
      </c>
      <c r="E5" s="9" t="str">
        <f>IF(A5=E$1, "", 
   IF(
      (COUNTIFS(Winner, A5, Loser, E$1) + COUNTIFS(Winner, E$1, Loser, A5)) = 0, 
      "", 
      COUNTIFS(Winner, A5, Loser, E$1) / 
      (COUNTIFS(Winner, A5, Loser, E$1) + COUNTIFS(Winner, E$1, Loser, A5))
   )
)</f>
        <v/>
      </c>
      <c r="F5" s="9">
        <f>IF(A5=F$1, "", 
   IF(
      (COUNTIFS(Winner, A5, Loser, F$1) + COUNTIFS(Winner, F$1, Loser, A5)) = 0, 
      "", 
      COUNTIFS(Winner, A5, Loser, F$1) / 
      (COUNTIFS(Winner, A5, Loser, F$1) + COUNTIFS(Winner, F$1, Loser, A5))
   )
)</f>
        <v>0.75</v>
      </c>
      <c r="G5" s="9">
        <f>IF(A5=G$1, "", 
   IF(
      (COUNTIFS(Winner, A5, Loser, G$1) + COUNTIFS(Winner, G$1, Loser, A5)) = 0, 
      "", 
      COUNTIFS(Winner, A5, Loser, G$1) / 
      (COUNTIFS(Winner, A5, Loser, G$1) + COUNTIFS(Winner, G$1, Loser, A5))
   )
)</f>
        <v>0.2</v>
      </c>
      <c r="H5" s="9">
        <f>IF(A5=H$1, "", 
   IF(
      (COUNTIFS(Winner, A5, Loser, H$1) + COUNTIFS(Winner, H$1, Loser, A5)) = 0, 
      "", 
      COUNTIFS(Winner, A5, Loser, H$1) / 
      (COUNTIFS(Winner, A5, Loser, H$1) + COUNTIFS(Winner, H$1, Loser, A5))
   )
)</f>
        <v>0</v>
      </c>
      <c r="I5" s="9">
        <f>IF(A5=I$1, "", 
   IF(
      (COUNTIFS(Winner, A5, Loser, I$1) + COUNTIFS(Winner, I$1, Loser, A5)) = 0, 
      "", 
      COUNTIFS(Winner, A5, Loser, I$1) / 
      (COUNTIFS(Winner, A5, Loser, I$1) + COUNTIFS(Winner, I$1, Loser, A5))
   )
)</f>
        <v>0.25</v>
      </c>
      <c r="J5" s="9">
        <f>IF(A5=J$1, "", 
   IF(
      (COUNTIFS(Winner, A5, Loser, J$1) + COUNTIFS(Winner, J$1, Loser, A5)) = 0, 
      "", 
      COUNTIFS(Winner, A5, Loser, J$1) / 
      (COUNTIFS(Winner, A5, Loser, J$1) + COUNTIFS(Winner, J$1, Loser, A5))
   )
)</f>
        <v>0.3333333333</v>
      </c>
      <c r="K5" s="9">
        <f>IF(A5=K$1, "", 
   IF(
      (COUNTIFS(Winner, A5, Loser, K$1) + COUNTIFS(Winner, K$1, Loser, A5)) = 0, 
      "", 
      COUNTIFS(Winner, A5, Loser, K$1) / 
      (COUNTIFS(Winner, A5, Loser, K$1) + COUNTIFS(Winner, K$1, Loser, A5))
   )
)</f>
        <v>0</v>
      </c>
      <c r="L5" s="9">
        <f>IF(A5=L$1, "", 
   IF(
      (COUNTIFS(Winner, A5, Loser, L$1) + COUNTIFS(Winner, L$1, Loser, A5)) = 0, 
      "", 
      COUNTIFS(Winner, A5, Loser, L$1) / 
      (COUNTIFS(Winner, A5, Loser, L$1) + COUNTIFS(Winner, L$1, Loser, A5))
   )
)</f>
        <v>0</v>
      </c>
      <c r="M5" s="9">
        <f>IF(A5=M$1, "", 
   IF(
      (COUNTIFS(Winner, A5, Loser, M$1) + COUNTIFS(Winner, M$1, Loser, A5)) = 0, 
      "", 
      COUNTIFS(Winner, A5, Loser, M$1) / 
      (COUNTIFS(Winner, A5, Loser, M$1) + COUNTIFS(Winner, M$1, Loser, A5))
   )
)</f>
        <v>0.5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 t="s">
        <v>11</v>
      </c>
      <c r="B6" s="9">
        <f>IF(A6=B$1, "", 
   IF(
      (COUNTIFS(Winner, A6, Loser, B$1) + COUNTIFS(Winner, B$1, Loser, A6)) = 0, 
      "", 
      COUNTIFS(Winner, A6, Loser, B$1) / 
      (COUNTIFS(Winner, A6, Loser, B$1) + COUNTIFS(Winner, B$1, Loser, A6))
   )
)</f>
        <v>0.75</v>
      </c>
      <c r="C6" s="9">
        <f>IF(A6=C$1, "", 
   IF(
      (COUNTIFS(Winner, A6, Loser, C$1) + COUNTIFS(Winner, C$1, Loser, A6)) = 0, 
      "", 
      COUNTIFS(Winner, A6, Loser, C$1) / 
      (COUNTIFS(Winner, A6, Loser, C$1) + COUNTIFS(Winner, C$1, Loser, A6))
   )
)</f>
        <v>0.25</v>
      </c>
      <c r="D6" s="9">
        <f>IF(A6=D$1, "", 
   IF(
      (COUNTIFS(Winner, A6, Loser, D$1) + COUNTIFS(Winner, D$1, Loser, A6)) = 0, 
      "", 
      COUNTIFS(Winner, A6, Loser, D$1) / 
      (COUNTIFS(Winner, A6, Loser, D$1) + COUNTIFS(Winner, D$1, Loser, A6))
   )
)</f>
        <v>0.2857142857</v>
      </c>
      <c r="E6" s="9">
        <f>IF(A6=E$1, "", 
   IF(
      (COUNTIFS(Winner, A6, Loser, E$1) + COUNTIFS(Winner, E$1, Loser, A6)) = 0, 
      "", 
      COUNTIFS(Winner, A6, Loser, E$1) / 
      (COUNTIFS(Winner, A6, Loser, E$1) + COUNTIFS(Winner, E$1, Loser, A6))
   )
)</f>
        <v>0.25</v>
      </c>
      <c r="F6" s="9" t="str">
        <f>IF(A6=F$1, "", 
   IF(
      (COUNTIFS(Winner, A6, Loser, F$1) + COUNTIFS(Winner, F$1, Loser, A6)) = 0, 
      "", 
      COUNTIFS(Winner, A6, Loser, F$1) / 
      (COUNTIFS(Winner, A6, Loser, F$1) + COUNTIFS(Winner, F$1, Loser, A6))
   )
)</f>
        <v/>
      </c>
      <c r="G6" s="9">
        <f>IF(A6=G$1, "", 
   IF(
      (COUNTIFS(Winner, A6, Loser, G$1) + COUNTIFS(Winner, G$1, Loser, A6)) = 0, 
      "", 
      COUNTIFS(Winner, A6, Loser, G$1) / 
      (COUNTIFS(Winner, A6, Loser, G$1) + COUNTIFS(Winner, G$1, Loser, A6))
   )
)</f>
        <v>0.5</v>
      </c>
      <c r="H6" s="9">
        <f>IF(A6=H$1, "", 
   IF(
      (COUNTIFS(Winner, A6, Loser, H$1) + COUNTIFS(Winner, H$1, Loser, A6)) = 0, 
      "", 
      COUNTIFS(Winner, A6, Loser, H$1) / 
      (COUNTIFS(Winner, A6, Loser, H$1) + COUNTIFS(Winner, H$1, Loser, A6))
   )
)</f>
        <v>0.5</v>
      </c>
      <c r="I6" s="9">
        <f>IF(A6=I$1, "", 
   IF(
      (COUNTIFS(Winner, A6, Loser, I$1) + COUNTIFS(Winner, I$1, Loser, A6)) = 0, 
      "", 
      COUNTIFS(Winner, A6, Loser, I$1) / 
      (COUNTIFS(Winner, A6, Loser, I$1) + COUNTIFS(Winner, I$1, Loser, A6))
   )
)</f>
        <v>0.5</v>
      </c>
      <c r="J6" s="9">
        <f>IF(A6=J$1, "", 
   IF(
      (COUNTIFS(Winner, A6, Loser, J$1) + COUNTIFS(Winner, J$1, Loser, A6)) = 0, 
      "", 
      COUNTIFS(Winner, A6, Loser, J$1) / 
      (COUNTIFS(Winner, A6, Loser, J$1) + COUNTIFS(Winner, J$1, Loser, A6))
   )
)</f>
        <v>0.4285714286</v>
      </c>
      <c r="K6" s="9">
        <f>IF(A6=K$1, "", 
   IF(
      (COUNTIFS(Winner, A6, Loser, K$1) + COUNTIFS(Winner, K$1, Loser, A6)) = 0, 
      "", 
      COUNTIFS(Winner, A6, Loser, K$1) / 
      (COUNTIFS(Winner, A6, Loser, K$1) + COUNTIFS(Winner, K$1, Loser, A6))
   )
)</f>
        <v>1</v>
      </c>
      <c r="L6" s="9">
        <f>IF(A6=L$1, "", 
   IF(
      (COUNTIFS(Winner, A6, Loser, L$1) + COUNTIFS(Winner, L$1, Loser, A6)) = 0, 
      "", 
      COUNTIFS(Winner, A6, Loser, L$1) / 
      (COUNTIFS(Winner, A6, Loser, L$1) + COUNTIFS(Winner, L$1, Loser, A6))
   )
)</f>
        <v>0.5</v>
      </c>
      <c r="M6" s="9">
        <f>IF(A6=M$1, "", 
   IF(
      (COUNTIFS(Winner, A6, Loser, M$1) + COUNTIFS(Winner, M$1, Loser, A6)) = 0, 
      "", 
      COUNTIFS(Winner, A6, Loser, M$1) / 
      (COUNTIFS(Winner, A6, Loser, M$1) + COUNTIFS(Winner, M$1, Loser, A6))
   )
)</f>
        <v>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10</v>
      </c>
      <c r="B7" s="9">
        <f>IF(A7=B$1, "", 
   IF(
      (COUNTIFS(Winner, A7, Loser, B$1) + COUNTIFS(Winner, B$1, Loser, A7)) = 0, 
      "", 
      COUNTIFS(Winner, A7, Loser, B$1) / 
      (COUNTIFS(Winner, A7, Loser, B$1) + COUNTIFS(Winner, B$1, Loser, A7))
   )
)</f>
        <v>0.5</v>
      </c>
      <c r="C7" s="9">
        <f>IF(A7=C$1, "", 
   IF(
      (COUNTIFS(Winner, A7, Loser, C$1) + COUNTIFS(Winner, C$1, Loser, A7)) = 0, 
      "", 
      COUNTIFS(Winner, A7, Loser, C$1) / 
      (COUNTIFS(Winner, A7, Loser, C$1) + COUNTIFS(Winner, C$1, Loser, A7))
   )
)</f>
        <v>0.6666666667</v>
      </c>
      <c r="D7" s="9">
        <f>IF(A7=D$1, "", 
   IF(
      (COUNTIFS(Winner, A7, Loser, D$1) + COUNTIFS(Winner, D$1, Loser, A7)) = 0, 
      "", 
      COUNTIFS(Winner, A7, Loser, D$1) / 
      (COUNTIFS(Winner, A7, Loser, D$1) + COUNTIFS(Winner, D$1, Loser, A7))
   )
)</f>
        <v>0.5</v>
      </c>
      <c r="E7" s="9">
        <f>IF(A7=E$1, "", 
   IF(
      (COUNTIFS(Winner, A7, Loser, E$1) + COUNTIFS(Winner, E$1, Loser, A7)) = 0, 
      "", 
      COUNTIFS(Winner, A7, Loser, E$1) / 
      (COUNTIFS(Winner, A7, Loser, E$1) + COUNTIFS(Winner, E$1, Loser, A7))
   )
)</f>
        <v>0.8</v>
      </c>
      <c r="F7" s="9">
        <f>IF(A7=F$1, "", 
   IF(
      (COUNTIFS(Winner, A7, Loser, F$1) + COUNTIFS(Winner, F$1, Loser, A7)) = 0, 
      "", 
      COUNTIFS(Winner, A7, Loser, F$1) / 
      (COUNTIFS(Winner, A7, Loser, F$1) + COUNTIFS(Winner, F$1, Loser, A7))
   )
)</f>
        <v>0.5</v>
      </c>
      <c r="G7" s="9" t="str">
        <f>IF(A7=G$1, "", 
   IF(
      (COUNTIFS(Winner, A7, Loser, G$1) + COUNTIFS(Winner, G$1, Loser, A7)) = 0, 
      "", 
      COUNTIFS(Winner, A7, Loser, G$1) / 
      (COUNTIFS(Winner, A7, Loser, G$1) + COUNTIFS(Winner, G$1, Loser, A7))
   )
)</f>
        <v/>
      </c>
      <c r="H7" s="9">
        <f>IF(A7=H$1, "", 
   IF(
      (COUNTIFS(Winner, A7, Loser, H$1) + COUNTIFS(Winner, H$1, Loser, A7)) = 0, 
      "", 
      COUNTIFS(Winner, A7, Loser, H$1) / 
      (COUNTIFS(Winner, A7, Loser, H$1) + COUNTIFS(Winner, H$1, Loser, A7))
   )
)</f>
        <v>1</v>
      </c>
      <c r="I7" s="9">
        <f>IF(A7=I$1, "", 
   IF(
      (COUNTIFS(Winner, A7, Loser, I$1) + COUNTIFS(Winner, I$1, Loser, A7)) = 0, 
      "", 
      COUNTIFS(Winner, A7, Loser, I$1) / 
      (COUNTIFS(Winner, A7, Loser, I$1) + COUNTIFS(Winner, I$1, Loser, A7))
   )
)</f>
        <v>0.8</v>
      </c>
      <c r="J7" s="9">
        <f>IF(A7=J$1, "", 
   IF(
      (COUNTIFS(Winner, A7, Loser, J$1) + COUNTIFS(Winner, J$1, Loser, A7)) = 0, 
      "", 
      COUNTIFS(Winner, A7, Loser, J$1) / 
      (COUNTIFS(Winner, A7, Loser, J$1) + COUNTIFS(Winner, J$1, Loser, A7))
   )
)</f>
        <v>0.75</v>
      </c>
      <c r="K7" s="9">
        <f>IF(A7=K$1, "", 
   IF(
      (COUNTIFS(Winner, A7, Loser, K$1) + COUNTIFS(Winner, K$1, Loser, A7)) = 0, 
      "", 
      COUNTIFS(Winner, A7, Loser, K$1) / 
      (COUNTIFS(Winner, A7, Loser, K$1) + COUNTIFS(Winner, K$1, Loser, A7))
   )
)</f>
        <v>0.75</v>
      </c>
      <c r="L7" s="9">
        <f>IF(A7=L$1, "", 
   IF(
      (COUNTIFS(Winner, A7, Loser, L$1) + COUNTIFS(Winner, L$1, Loser, A7)) = 0, 
      "", 
      COUNTIFS(Winner, A7, Loser, L$1) / 
      (COUNTIFS(Winner, A7, Loser, L$1) + COUNTIFS(Winner, L$1, Loser, A7))
   )
)</f>
        <v>1</v>
      </c>
      <c r="M7" s="9">
        <f>IF(A7=M$1, "", 
   IF(
      (COUNTIFS(Winner, A7, Loser, M$1) + COUNTIFS(Winner, M$1, Loser, A7)) = 0, 
      "", 
      COUNTIFS(Winner, A7, Loser, M$1) / 
      (COUNTIFS(Winner, A7, Loser, M$1) + COUNTIFS(Winner, M$1, Loser, A7))
   )
)</f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18</v>
      </c>
      <c r="B8" s="9">
        <f>IF(A8=B$1, "", 
   IF(
      (COUNTIFS(Winner, A8, Loser, B$1) + COUNTIFS(Winner, B$1, Loser, A8)) = 0, 
      "", 
      COUNTIFS(Winner, A8, Loser, B$1) / 
      (COUNTIFS(Winner, A8, Loser, B$1) + COUNTIFS(Winner, B$1, Loser, A8))
   )
)</f>
        <v>0.3333333333</v>
      </c>
      <c r="C8" s="9">
        <f>IF(A8=C$1, "", 
   IF(
      (COUNTIFS(Winner, A8, Loser, C$1) + COUNTIFS(Winner, C$1, Loser, A8)) = 0, 
      "", 
      COUNTIFS(Winner, A8, Loser, C$1) / 
      (COUNTIFS(Winner, A8, Loser, C$1) + COUNTIFS(Winner, C$1, Loser, A8))
   )
)</f>
        <v>0.6666666667</v>
      </c>
      <c r="D8" s="9">
        <f>IF(A8=D$1, "", 
   IF(
      (COUNTIFS(Winner, A8, Loser, D$1) + COUNTIFS(Winner, D$1, Loser, A8)) = 0, 
      "", 
      COUNTIFS(Winner, A8, Loser, D$1) / 
      (COUNTIFS(Winner, A8, Loser, D$1) + COUNTIFS(Winner, D$1, Loser, A8))
   )
)</f>
        <v>0.6</v>
      </c>
      <c r="E8" s="9">
        <f>IF(A8=E$1, "", 
   IF(
      (COUNTIFS(Winner, A8, Loser, E$1) + COUNTIFS(Winner, E$1, Loser, A8)) = 0, 
      "", 
      COUNTIFS(Winner, A8, Loser, E$1) / 
      (COUNTIFS(Winner, A8, Loser, E$1) + COUNTIFS(Winner, E$1, Loser, A8))
   )
)</f>
        <v>1</v>
      </c>
      <c r="F8" s="9">
        <f>IF(A8=F$1, "", 
   IF(
      (COUNTIFS(Winner, A8, Loser, F$1) + COUNTIFS(Winner, F$1, Loser, A8)) = 0, 
      "", 
      COUNTIFS(Winner, A8, Loser, F$1) / 
      (COUNTIFS(Winner, A8, Loser, F$1) + COUNTIFS(Winner, F$1, Loser, A8))
   )
)</f>
        <v>0.5</v>
      </c>
      <c r="G8" s="9">
        <f>IF(A8=G$1, "", 
   IF(
      (COUNTIFS(Winner, A8, Loser, G$1) + COUNTIFS(Winner, G$1, Loser, A8)) = 0, 
      "", 
      COUNTIFS(Winner, A8, Loser, G$1) / 
      (COUNTIFS(Winner, A8, Loser, G$1) + COUNTIFS(Winner, G$1, Loser, A8))
   )
)</f>
        <v>0</v>
      </c>
      <c r="H8" s="9" t="str">
        <f>IF(A8=H$1, "", 
   IF(
      (COUNTIFS(Winner, A8, Loser, H$1) + COUNTIFS(Winner, H$1, Loser, A8)) = 0, 
      "", 
      COUNTIFS(Winner, A8, Loser, H$1) / 
      (COUNTIFS(Winner, A8, Loser, H$1) + COUNTIFS(Winner, H$1, Loser, A8))
   )
)</f>
        <v/>
      </c>
      <c r="I8" s="9">
        <f>IF(A8=I$1, "", 
   IF(
      (COUNTIFS(Winner, A8, Loser, I$1) + COUNTIFS(Winner, I$1, Loser, A8)) = 0, 
      "", 
      COUNTIFS(Winner, A8, Loser, I$1) / 
      (COUNTIFS(Winner, A8, Loser, I$1) + COUNTIFS(Winner, I$1, Loser, A8))
   )
)</f>
        <v>0.5</v>
      </c>
      <c r="J8" s="9">
        <f>IF(A8=J$1, "", 
   IF(
      (COUNTIFS(Winner, A8, Loser, J$1) + COUNTIFS(Winner, J$1, Loser, A8)) = 0, 
      "", 
      COUNTIFS(Winner, A8, Loser, J$1) / 
      (COUNTIFS(Winner, A8, Loser, J$1) + COUNTIFS(Winner, J$1, Loser, A8))
   )
)</f>
        <v>0.25</v>
      </c>
      <c r="K8" s="9">
        <f>IF(A8=K$1, "", 
   IF(
      (COUNTIFS(Winner, A8, Loser, K$1) + COUNTIFS(Winner, K$1, Loser, A8)) = 0, 
      "", 
      COUNTIFS(Winner, A8, Loser, K$1) / 
      (COUNTIFS(Winner, A8, Loser, K$1) + COUNTIFS(Winner, K$1, Loser, A8))
   )
)</f>
        <v>0.5</v>
      </c>
      <c r="L8" s="9" t="str">
        <f>IF(A8=L$1, "", 
   IF(
      (COUNTIFS(Winner, A8, Loser, L$1) + COUNTIFS(Winner, L$1, Loser, A8)) = 0, 
      "", 
      COUNTIFS(Winner, A8, Loser, L$1) / 
      (COUNTIFS(Winner, A8, Loser, L$1) + COUNTIFS(Winner, L$1, Loser, A8))
   )
)</f>
        <v/>
      </c>
      <c r="M8" s="9" t="str">
        <f>IF(A8=M$1, "", 
   IF(
      (COUNTIFS(Winner, A8, Loser, M$1) + COUNTIFS(Winner, M$1, Loser, A8)) = 0, 
      "", 
      COUNTIFS(Winner, A8, Loser, M$1) / 
      (COUNTIFS(Winner, A8, Loser, M$1) + COUNTIFS(Winner, M$1, Loser, A8))
   )
)</f>
        <v/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" t="s">
        <v>13</v>
      </c>
      <c r="B9" s="9">
        <f>IF(A9=B$1, "", 
   IF(
      (COUNTIFS(Winner, A9, Loser, B$1) + COUNTIFS(Winner, B$1, Loser, A9)) = 0, 
      "", 
      COUNTIFS(Winner, A9, Loser, B$1) / 
      (COUNTIFS(Winner, A9, Loser, B$1) + COUNTIFS(Winner, B$1, Loser, A9))
   )
)</f>
        <v>0</v>
      </c>
      <c r="C9" s="9">
        <f>IF(A9=C$1, "", 
   IF(
      (COUNTIFS(Winner, A9, Loser, C$1) + COUNTIFS(Winner, C$1, Loser, A9)) = 0, 
      "", 
      COUNTIFS(Winner, A9, Loser, C$1) / 
      (COUNTIFS(Winner, A9, Loser, C$1) + COUNTIFS(Winner, C$1, Loser, A9))
   )
)</f>
        <v>0</v>
      </c>
      <c r="D9" s="9">
        <f>IF(A9=D$1, "", 
   IF(
      (COUNTIFS(Winner, A9, Loser, D$1) + COUNTIFS(Winner, D$1, Loser, A9)) = 0, 
      "", 
      COUNTIFS(Winner, A9, Loser, D$1) / 
      (COUNTIFS(Winner, A9, Loser, D$1) + COUNTIFS(Winner, D$1, Loser, A9))
   )
)</f>
        <v>0</v>
      </c>
      <c r="E9" s="9">
        <f>IF(A9=E$1, "", 
   IF(
      (COUNTIFS(Winner, A9, Loser, E$1) + COUNTIFS(Winner, E$1, Loser, A9)) = 0, 
      "", 
      COUNTIFS(Winner, A9, Loser, E$1) / 
      (COUNTIFS(Winner, A9, Loser, E$1) + COUNTIFS(Winner, E$1, Loser, A9))
   )
)</f>
        <v>1</v>
      </c>
      <c r="F9" s="9">
        <f>IF(A9=F$1, "", 
   IF(
      (COUNTIFS(Winner, A9, Loser, F$1) + COUNTIFS(Winner, F$1, Loser, A9)) = 0, 
      "", 
      COUNTIFS(Winner, A9, Loser, F$1) / 
      (COUNTIFS(Winner, A9, Loser, F$1) + COUNTIFS(Winner, F$1, Loser, A9))
   )
)</f>
        <v>0.5</v>
      </c>
      <c r="G9" s="9">
        <f>IF(A9=G$1, "", 
   IF(
      (COUNTIFS(Winner, A9, Loser, G$1) + COUNTIFS(Winner, G$1, Loser, A9)) = 0, 
      "", 
      COUNTIFS(Winner, A9, Loser, G$1) / 
      (COUNTIFS(Winner, A9, Loser, G$1) + COUNTIFS(Winner, G$1, Loser, A9))
   )
)</f>
        <v>0</v>
      </c>
      <c r="H9" s="9" t="str">
        <f>IF(A9=H$1, "", 
   IF(
      (COUNTIFS(Winner, A9, Loser, H$1) + COUNTIFS(Winner, H$1, Loser, A9)) = 0, 
      "", 
      COUNTIFS(Winner, A9, Loser, H$1) / 
      (COUNTIFS(Winner, A9, Loser, H$1) + COUNTIFS(Winner, H$1, Loser, A9))
   )
)</f>
        <v/>
      </c>
      <c r="I9" s="9">
        <f>IF(A9=I$1, "", 
   IF(
      (COUNTIFS(Winner, A9, Loser, I$1) + COUNTIFS(Winner, I$1, Loser, A9)) = 0, 
      "", 
      COUNTIFS(Winner, A9, Loser, I$1) / 
      (COUNTIFS(Winner, A9, Loser, I$1) + COUNTIFS(Winner, I$1, Loser, A9))
   )
)</f>
        <v>0</v>
      </c>
      <c r="J9" s="9">
        <f>IF(A9=J$1, "", 
   IF(
      (COUNTIFS(Winner, A9, Loser, J$1) + COUNTIFS(Winner, J$1, Loser, A9)) = 0, 
      "", 
      COUNTIFS(Winner, A9, Loser, J$1) / 
      (COUNTIFS(Winner, A9, Loser, J$1) + COUNTIFS(Winner, J$1, Loser, A9))
   )
)</f>
        <v>1</v>
      </c>
      <c r="K9" s="9" t="str">
        <f>IF(A9=K$1, "", 
   IF(
      (COUNTIFS(Winner, A9, Loser, K$1) + COUNTIFS(Winner, K$1, Loser, A9)) = 0, 
      "", 
      COUNTIFS(Winner, A9, Loser, K$1) / 
      (COUNTIFS(Winner, A9, Loser, K$1) + COUNTIFS(Winner, K$1, Loser, A9))
   )
)</f>
        <v/>
      </c>
      <c r="L9" s="9" t="str">
        <f>IF(A9=L$1, "", 
   IF(
      (COUNTIFS(Winner, A9, Loser, L$1) + COUNTIFS(Winner, L$1, Loser, A9)) = 0, 
      "", 
      COUNTIFS(Winner, A9, Loser, L$1) / 
      (COUNTIFS(Winner, A9, Loser, L$1) + COUNTIFS(Winner, L$1, Loser, A9))
   )
)</f>
        <v/>
      </c>
      <c r="M9" s="9">
        <f>IF(A9=M$1, "", 
   IF(
      (COUNTIFS(Winner, A9, Loser, M$1) + COUNTIFS(Winner, M$1, Loser, A9)) = 0, 
      "", 
      COUNTIFS(Winner, A9, Loser, M$1) / 
      (COUNTIFS(Winner, A9, Loser, M$1) + COUNTIFS(Winner, M$1, Loser, A9))
   )
)</f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" t="s">
        <v>15</v>
      </c>
      <c r="B10" s="9">
        <f>IF(A10=B$1, "", 
   IF(
      (COUNTIFS(Winner, A10, Loser, B$1) + COUNTIFS(Winner, B$1, Loser, A10)) = 0, 
      "", 
      COUNTIFS(Winner, A10, Loser, B$1) / 
      (COUNTIFS(Winner, A10, Loser, B$1) + COUNTIFS(Winner, B$1, Loser, A10))
   )
)</f>
        <v>0.5</v>
      </c>
      <c r="C10" s="9">
        <f>IF(A10=C$1, "", 
   IF(
      (COUNTIFS(Winner, A10, Loser, C$1) + COUNTIFS(Winner, C$1, Loser, A10)) = 0, 
      "", 
      COUNTIFS(Winner, A10, Loser, C$1) / 
      (COUNTIFS(Winner, A10, Loser, C$1) + COUNTIFS(Winner, C$1, Loser, A10))
   )
)</f>
        <v>0.2</v>
      </c>
      <c r="D10" s="9">
        <f>IF(A10=D$1, "", 
   IF(
      (COUNTIFS(Winner, A10, Loser, D$1) + COUNTIFS(Winner, D$1, Loser, A10)) = 0, 
      "", 
      COUNTIFS(Winner, A10, Loser, D$1) / 
      (COUNTIFS(Winner, A10, Loser, D$1) + COUNTIFS(Winner, D$1, Loser, A10))
   )
)</f>
        <v>0.5714285714</v>
      </c>
      <c r="E10" s="9">
        <f>IF(A10=E$1, "", 
   IF(
      (COUNTIFS(Winner, A10, Loser, E$1) + COUNTIFS(Winner, E$1, Loser, A10)) = 0, 
      "", 
      COUNTIFS(Winner, A10, Loser, E$1) / 
      (COUNTIFS(Winner, A10, Loser, E$1) + COUNTIFS(Winner, E$1, Loser, A10))
   )
)</f>
        <v>0.75</v>
      </c>
      <c r="F10" s="9">
        <f>IF(A10=F$1, "", 
   IF(
      (COUNTIFS(Winner, A10, Loser, F$1) + COUNTIFS(Winner, F$1, Loser, A10)) = 0, 
      "", 
      COUNTIFS(Winner, A10, Loser, F$1) / 
      (COUNTIFS(Winner, A10, Loser, F$1) + COUNTIFS(Winner, F$1, Loser, A10))
   )
)</f>
        <v>0.5</v>
      </c>
      <c r="G10" s="9">
        <f>IF(A10=G$1, "", 
   IF(
      (COUNTIFS(Winner, A10, Loser, G$1) + COUNTIFS(Winner, G$1, Loser, A10)) = 0, 
      "", 
      COUNTIFS(Winner, A10, Loser, G$1) / 
      (COUNTIFS(Winner, A10, Loser, G$1) + COUNTIFS(Winner, G$1, Loser, A10))
   )
)</f>
        <v>0.2</v>
      </c>
      <c r="H10" s="9">
        <f>IF(A10=H$1, "", 
   IF(
      (COUNTIFS(Winner, A10, Loser, H$1) + COUNTIFS(Winner, H$1, Loser, A10)) = 0, 
      "", 
      COUNTIFS(Winner, A10, Loser, H$1) / 
      (COUNTIFS(Winner, A10, Loser, H$1) + COUNTIFS(Winner, H$1, Loser, A10))
   )
)</f>
        <v>0.5</v>
      </c>
      <c r="I10" s="9" t="str">
        <f>IF(A10=I$1, "", 
   IF(
      (COUNTIFS(Winner, A10, Loser, I$1) + COUNTIFS(Winner, I$1, Loser, A10)) = 0, 
      "", 
      COUNTIFS(Winner, A10, Loser, I$1) / 
      (COUNTIFS(Winner, A10, Loser, I$1) + COUNTIFS(Winner, I$1, Loser, A10))
   )
)</f>
        <v/>
      </c>
      <c r="J10" s="9">
        <f>IF(A10=J$1, "", 
   IF(
      (COUNTIFS(Winner, A10, Loser, J$1) + COUNTIFS(Winner, J$1, Loser, A10)) = 0, 
      "", 
      COUNTIFS(Winner, A10, Loser, J$1) / 
      (COUNTIFS(Winner, A10, Loser, J$1) + COUNTIFS(Winner, J$1, Loser, A10))
   )
)</f>
        <v>0.2</v>
      </c>
      <c r="K10" s="9">
        <f>IF(A10=K$1, "", 
   IF(
      (COUNTIFS(Winner, A10, Loser, K$1) + COUNTIFS(Winner, K$1, Loser, A10)) = 0, 
      "", 
      COUNTIFS(Winner, A10, Loser, K$1) / 
      (COUNTIFS(Winner, A10, Loser, K$1) + COUNTIFS(Winner, K$1, Loser, A10))
   )
)</f>
        <v>0.6666666667</v>
      </c>
      <c r="L10" s="9">
        <f>IF(A10=L$1, "", 
   IF(
      (COUNTIFS(Winner, A10, Loser, L$1) + COUNTIFS(Winner, L$1, Loser, A10)) = 0, 
      "", 
      COUNTIFS(Winner, A10, Loser, L$1) / 
      (COUNTIFS(Winner, A10, Loser, L$1) + COUNTIFS(Winner, L$1, Loser, A10))
   )
)</f>
        <v>1</v>
      </c>
      <c r="M10" s="9">
        <f>IF(A10=M$1, "", 
   IF(
      (COUNTIFS(Winner, A10, Loser, M$1) + COUNTIFS(Winner, M$1, Loser, A10)) = 0, 
      "", 
      COUNTIFS(Winner, A10, Loser, M$1) / 
      (COUNTIFS(Winner, A10, Loser, M$1) + COUNTIFS(Winner, M$1, Loser, A10))
   )
)</f>
        <v>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" t="s">
        <v>16</v>
      </c>
      <c r="B11" s="9">
        <f>IF(A11=B$1, "", 
   IF(
      (COUNTIFS(Winner, A11, Loser, B$1) + COUNTIFS(Winner, B$1, Loser, A11)) = 0, 
      "", 
      COUNTIFS(Winner, A11, Loser, B$1) / 
      (COUNTIFS(Winner, A11, Loser, B$1) + COUNTIFS(Winner, B$1, Loser, A11))
   )
)</f>
        <v>0.4</v>
      </c>
      <c r="C11" s="9">
        <f>IF(A11=C$1, "", 
   IF(
      (COUNTIFS(Winner, A11, Loser, C$1) + COUNTIFS(Winner, C$1, Loser, A11)) = 0, 
      "", 
      COUNTIFS(Winner, A11, Loser, C$1) / 
      (COUNTIFS(Winner, A11, Loser, C$1) + COUNTIFS(Winner, C$1, Loser, A11))
   )
)</f>
        <v>0.3333333333</v>
      </c>
      <c r="D11" s="9">
        <f>IF(A11=D$1, "", 
   IF(
      (COUNTIFS(Winner, A11, Loser, D$1) + COUNTIFS(Winner, D$1, Loser, A11)) = 0, 
      "", 
      COUNTIFS(Winner, A11, Loser, D$1) / 
      (COUNTIFS(Winner, A11, Loser, D$1) + COUNTIFS(Winner, D$1, Loser, A11))
   )
)</f>
        <v>0.3333333333</v>
      </c>
      <c r="E11" s="9">
        <f>IF(A11=E$1, "", 
   IF(
      (COUNTIFS(Winner, A11, Loser, E$1) + COUNTIFS(Winner, E$1, Loser, A11)) = 0, 
      "", 
      COUNTIFS(Winner, A11, Loser, E$1) / 
      (COUNTIFS(Winner, A11, Loser, E$1) + COUNTIFS(Winner, E$1, Loser, A11))
   )
)</f>
        <v>0.6666666667</v>
      </c>
      <c r="F11" s="9">
        <f>IF(A11=F$1, "", 
   IF(
      (COUNTIFS(Winner, A11, Loser, F$1) + COUNTIFS(Winner, F$1, Loser, A11)) = 0, 
      "", 
      COUNTIFS(Winner, A11, Loser, F$1) / 
      (COUNTIFS(Winner, A11, Loser, F$1) + COUNTIFS(Winner, F$1, Loser, A11))
   )
)</f>
        <v>0.5714285714</v>
      </c>
      <c r="G11" s="9">
        <f>IF(A11=G$1, "", 
   IF(
      (COUNTIFS(Winner, A11, Loser, G$1) + COUNTIFS(Winner, G$1, Loser, A11)) = 0, 
      "", 
      COUNTIFS(Winner, A11, Loser, G$1) / 
      (COUNTIFS(Winner, A11, Loser, G$1) + COUNTIFS(Winner, G$1, Loser, A11))
   )
)</f>
        <v>0.25</v>
      </c>
      <c r="H11" s="9">
        <f>IF(A11=H$1, "", 
   IF(
      (COUNTIFS(Winner, A11, Loser, H$1) + COUNTIFS(Winner, H$1, Loser, A11)) = 0, 
      "", 
      COUNTIFS(Winner, A11, Loser, H$1) / 
      (COUNTIFS(Winner, A11, Loser, H$1) + COUNTIFS(Winner, H$1, Loser, A11))
   )
)</f>
        <v>0.75</v>
      </c>
      <c r="I11" s="9">
        <f>IF(A11=I$1, "", 
   IF(
      (COUNTIFS(Winner, A11, Loser, I$1) + COUNTIFS(Winner, I$1, Loser, A11)) = 0, 
      "", 
      COUNTIFS(Winner, A11, Loser, I$1) / 
      (COUNTIFS(Winner, A11, Loser, I$1) + COUNTIFS(Winner, I$1, Loser, A11))
   )
)</f>
        <v>0.8</v>
      </c>
      <c r="J11" s="9" t="str">
        <f>IF(A11=J$1, "", 
   IF(
      (COUNTIFS(Winner, A11, Loser, J$1) + COUNTIFS(Winner, J$1, Loser, A11)) = 0, 
      "", 
      COUNTIFS(Winner, A11, Loser, J$1) / 
      (COUNTIFS(Winner, A11, Loser, J$1) + COUNTIFS(Winner, J$1, Loser, A11))
   )
)</f>
        <v/>
      </c>
      <c r="K11" s="9">
        <f>IF(A11=K$1, "", 
   IF(
      (COUNTIFS(Winner, A11, Loser, K$1) + COUNTIFS(Winner, K$1, Loser, A11)) = 0, 
      "", 
      COUNTIFS(Winner, A11, Loser, K$1) / 
      (COUNTIFS(Winner, A11, Loser, K$1) + COUNTIFS(Winner, K$1, Loser, A11))
   )
)</f>
        <v>1</v>
      </c>
      <c r="L11" s="9">
        <f>IF(A11=L$1, "", 
   IF(
      (COUNTIFS(Winner, A11, Loser, L$1) + COUNTIFS(Winner, L$1, Loser, A11)) = 0, 
      "", 
      COUNTIFS(Winner, A11, Loser, L$1) / 
      (COUNTIFS(Winner, A11, Loser, L$1) + COUNTIFS(Winner, L$1, Loser, A11))
   )
)</f>
        <v>0</v>
      </c>
      <c r="M11" s="9">
        <f>IF(A11=M$1, "", 
   IF(
      (COUNTIFS(Winner, A11, Loser, M$1) + COUNTIFS(Winner, M$1, Loser, A11)) = 0, 
      "", 
      COUNTIFS(Winner, A11, Loser, M$1) / 
      (COUNTIFS(Winner, A11, Loser, M$1) + COUNTIFS(Winner, M$1, Loser, A11))
   )
)</f>
        <v>0.3333333333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" t="s">
        <v>17</v>
      </c>
      <c r="B12" s="9">
        <f>IF(A12=B$1, "", 
   IF(
      (COUNTIFS(Winner, A12, Loser, B$1) + COUNTIFS(Winner, B$1, Loser, A12)) = 0, 
      "", 
      COUNTIFS(Winner, A12, Loser, B$1) / 
      (COUNTIFS(Winner, A12, Loser, B$1) + COUNTIFS(Winner, B$1, Loser, A12))
   )
)</f>
        <v>0</v>
      </c>
      <c r="C12" s="9">
        <f>IF(A12=C$1, "", 
   IF(
      (COUNTIFS(Winner, A12, Loser, C$1) + COUNTIFS(Winner, C$1, Loser, A12)) = 0, 
      "", 
      COUNTIFS(Winner, A12, Loser, C$1) / 
      (COUNTIFS(Winner, A12, Loser, C$1) + COUNTIFS(Winner, C$1, Loser, A12))
   )
)</f>
        <v>0</v>
      </c>
      <c r="D12" s="9">
        <f>IF(A12=D$1, "", 
   IF(
      (COUNTIFS(Winner, A12, Loser, D$1) + COUNTIFS(Winner, D$1, Loser, A12)) = 0, 
      "", 
      COUNTIFS(Winner, A12, Loser, D$1) / 
      (COUNTIFS(Winner, A12, Loser, D$1) + COUNTIFS(Winner, D$1, Loser, A12))
   )
)</f>
        <v>0</v>
      </c>
      <c r="E12" s="9">
        <f>IF(A12=E$1, "", 
   IF(
      (COUNTIFS(Winner, A12, Loser, E$1) + COUNTIFS(Winner, E$1, Loser, A12)) = 0, 
      "", 
      COUNTIFS(Winner, A12, Loser, E$1) / 
      (COUNTIFS(Winner, A12, Loser, E$1) + COUNTIFS(Winner, E$1, Loser, A12))
   )
)</f>
        <v>0.5</v>
      </c>
      <c r="F12" s="9">
        <f>IF(A12=F$1, "", 
   IF(
      (COUNTIFS(Winner, A12, Loser, F$1) + COUNTIFS(Winner, F$1, Loser, A12)) = 0, 
      "", 
      COUNTIFS(Winner, A12, Loser, F$1) / 
      (COUNTIFS(Winner, A12, Loser, F$1) + COUNTIFS(Winner, F$1, Loser, A12))
   )
)</f>
        <v>0</v>
      </c>
      <c r="G12" s="9">
        <f>IF(A12=G$1, "", 
   IF(
      (COUNTIFS(Winner, A12, Loser, G$1) + COUNTIFS(Winner, G$1, Loser, A12)) = 0, 
      "", 
      COUNTIFS(Winner, A12, Loser, G$1) / 
      (COUNTIFS(Winner, A12, Loser, G$1) + COUNTIFS(Winner, G$1, Loser, A12))
   )
)</f>
        <v>0</v>
      </c>
      <c r="H12" s="9" t="str">
        <f>IF(A12=H$1, "", 
   IF(
      (COUNTIFS(Winner, A12, Loser, H$1) + COUNTIFS(Winner, H$1, Loser, A12)) = 0, 
      "", 
      COUNTIFS(Winner, A12, Loser, H$1) / 
      (COUNTIFS(Winner, A12, Loser, H$1) + COUNTIFS(Winner, H$1, Loser, A12))
   )
)</f>
        <v/>
      </c>
      <c r="I12" s="9">
        <f>IF(A12=I$1, "", 
   IF(
      (COUNTIFS(Winner, A12, Loser, I$1) + COUNTIFS(Winner, I$1, Loser, A12)) = 0, 
      "", 
      COUNTIFS(Winner, A12, Loser, I$1) / 
      (COUNTIFS(Winner, A12, Loser, I$1) + COUNTIFS(Winner, I$1, Loser, A12))
   )
)</f>
        <v>0</v>
      </c>
      <c r="J12" s="9">
        <f>IF(A12=J$1, "", 
   IF(
      (COUNTIFS(Winner, A12, Loser, J$1) + COUNTIFS(Winner, J$1, Loser, A12)) = 0, 
      "", 
      COUNTIFS(Winner, A12, Loser, J$1) / 
      (COUNTIFS(Winner, A12, Loser, J$1) + COUNTIFS(Winner, J$1, Loser, A12))
   )
)</f>
        <v>0.6666666667</v>
      </c>
      <c r="K12" s="9" t="str">
        <f>IF(A12=K$1, "", 
   IF(
      (COUNTIFS(Winner, A12, Loser, K$1) + COUNTIFS(Winner, K$1, Loser, A12)) = 0, 
      "", 
      COUNTIFS(Winner, A12, Loser, K$1) / 
      (COUNTIFS(Winner, A12, Loser, K$1) + COUNTIFS(Winner, K$1, Loser, A12))
   )
)</f>
        <v/>
      </c>
      <c r="L12" s="9">
        <f>IF(A12=L$1, "", 
   IF(
      (COUNTIFS(Winner, A12, Loser, L$1) + COUNTIFS(Winner, L$1, Loser, A12)) = 0, 
      "", 
      COUNTIFS(Winner, A12, Loser, L$1) / 
      (COUNTIFS(Winner, A12, Loser, L$1) + COUNTIFS(Winner, L$1, Loser, A12))
   )
)</f>
        <v>1</v>
      </c>
      <c r="M12" s="9" t="str">
        <f>IF(A12=M$1, "", 
   IF(
      (COUNTIFS(Winner, A12, Loser, M$1) + COUNTIFS(Winner, M$1, Loser, A12)) = 0, 
      "", 
      COUNTIFS(Winner, A12, Loser, M$1) / 
      (COUNTIFS(Winner, A12, Loser, M$1) + COUNTIFS(Winner, M$1, Loser, A12))
   )
)</f>
        <v/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 t="s">
        <v>19</v>
      </c>
      <c r="B13" s="9">
        <f>IF(A13=B$1, "", 
   IF(
      (COUNTIFS(Winner, A13, Loser, B$1) + COUNTIFS(Winner, B$1, Loser, A13)) = 0, 
      "", 
      COUNTIFS(Winner, A13, Loser, B$1) / 
      (COUNTIFS(Winner, A13, Loser, B$1) + COUNTIFS(Winner, B$1, Loser, A13))
   )
)</f>
        <v>0.25</v>
      </c>
      <c r="C13" s="9">
        <f>IF(A13=C$1, "", 
   IF(
      (COUNTIFS(Winner, A13, Loser, C$1) + COUNTIFS(Winner, C$1, Loser, A13)) = 0, 
      "", 
      COUNTIFS(Winner, A13, Loser, C$1) / 
      (COUNTIFS(Winner, A13, Loser, C$1) + COUNTIFS(Winner, C$1, Loser, A13))
   )
)</f>
        <v>1</v>
      </c>
      <c r="D13" s="9">
        <f>IF(A13=D$1, "", 
   IF(
      (COUNTIFS(Winner, A13, Loser, D$1) + COUNTIFS(Winner, D$1, Loser, A13)) = 0, 
      "", 
      COUNTIFS(Winner, A13, Loser, D$1) / 
      (COUNTIFS(Winner, A13, Loser, D$1) + COUNTIFS(Winner, D$1, Loser, A13))
   )
)</f>
        <v>0</v>
      </c>
      <c r="E13" s="9">
        <f>IF(A13=E$1, "", 
   IF(
      (COUNTIFS(Winner, A13, Loser, E$1) + COUNTIFS(Winner, E$1, Loser, A13)) = 0, 
      "", 
      COUNTIFS(Winner, A13, Loser, E$1) / 
      (COUNTIFS(Winner, A13, Loser, E$1) + COUNTIFS(Winner, E$1, Loser, A13))
   )
)</f>
        <v>1</v>
      </c>
      <c r="F13" s="9">
        <f>IF(A13=F$1, "", 
   IF(
      (COUNTIFS(Winner, A13, Loser, F$1) + COUNTIFS(Winner, F$1, Loser, A13)) = 0, 
      "", 
      COUNTIFS(Winner, A13, Loser, F$1) / 
      (COUNTIFS(Winner, A13, Loser, F$1) + COUNTIFS(Winner, F$1, Loser, A13))
   )
)</f>
        <v>0</v>
      </c>
      <c r="G13" s="9">
        <f>IF(A13=G$1, "", 
   IF(
      (COUNTIFS(Winner, A13, Loser, G$1) + COUNTIFS(Winner, G$1, Loser, A13)) = 0, 
      "", 
      COUNTIFS(Winner, A13, Loser, G$1) / 
      (COUNTIFS(Winner, A13, Loser, G$1) + COUNTIFS(Winner, G$1, Loser, A13))
   )
)</f>
        <v>0.25</v>
      </c>
      <c r="H13" s="9">
        <f>IF(A13=H$1, "", 
   IF(
      (COUNTIFS(Winner, A13, Loser, H$1) + COUNTIFS(Winner, H$1, Loser, A13)) = 0, 
      "", 
      COUNTIFS(Winner, A13, Loser, H$1) / 
      (COUNTIFS(Winner, A13, Loser, H$1) + COUNTIFS(Winner, H$1, Loser, A13))
   )
)</f>
        <v>0.5</v>
      </c>
      <c r="I13" s="9">
        <f>IF(A13=I$1, "", 
   IF(
      (COUNTIFS(Winner, A13, Loser, I$1) + COUNTIFS(Winner, I$1, Loser, A13)) = 0, 
      "", 
      COUNTIFS(Winner, A13, Loser, I$1) / 
      (COUNTIFS(Winner, A13, Loser, I$1) + COUNTIFS(Winner, I$1, Loser, A13))
   )
)</f>
        <v>0.3333333333</v>
      </c>
      <c r="J13" s="9">
        <f>IF(A13=J$1, "", 
   IF(
      (COUNTIFS(Winner, A13, Loser, J$1) + COUNTIFS(Winner, J$1, Loser, A13)) = 0, 
      "", 
      COUNTIFS(Winner, A13, Loser, J$1) / 
      (COUNTIFS(Winner, A13, Loser, J$1) + COUNTIFS(Winner, J$1, Loser, A13))
   )
)</f>
        <v>0</v>
      </c>
      <c r="K13" s="9" t="str">
        <f>IF(A13=K$1, "", 
   IF(
      (COUNTIFS(Winner, A13, Loser, K$1) + COUNTIFS(Winner, K$1, Loser, A13)) = 0, 
      "", 
      COUNTIFS(Winner, A13, Loser, K$1) / 
      (COUNTIFS(Winner, A13, Loser, K$1) + COUNTIFS(Winner, K$1, Loser, A13))
   )
)</f>
        <v/>
      </c>
      <c r="L13" s="9" t="str">
        <f>IF(A13=L$1, "", 
   IF(
      (COUNTIFS(Winner, A13, Loser, L$1) + COUNTIFS(Winner, L$1, Loser, A13)) = 0, 
      "", 
      COUNTIFS(Winner, A13, Loser, L$1) / 
      (COUNTIFS(Winner, A13, Loser, L$1) + COUNTIFS(Winner, L$1, Loser, A13))
   )
)</f>
        <v/>
      </c>
      <c r="M13" s="9" t="str">
        <f>IF(A13=M$1, "", 
   IF(
      (COUNTIFS(Winner, A13, Loser, M$1) + COUNTIFS(Winner, M$1, Loser, A13)) = 0, 
      "", 
      COUNTIFS(Winner, A13, Loser, M$1) / 
      (COUNTIFS(Winner, A13, Loser, M$1) + COUNTIFS(Winner, M$1, Loser, A13))
   )
)</f>
        <v/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B14" s="9" t="str">
        <f>IF(A14=B$1, "", 
   IF(
      (COUNTIFS(Winner, A14, Loser, B$1, Season, $A$1) + COUNTIFS(Winner, B$1, Loser, A14, Season, $A$1)) = 0, 
      "", 
      COUNTIFS(Winner, A14, Loser, B$1, Season, $A$1) / 
      (COUNTIFS(Winner, A14, Loser, B$1, Season, $A$1) + COUNTIFS(Winner, B$1, Loser, A14, Season, $A$1))
   )
)</f>
        <v/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1:M1 A2:A13">
      <formula1>"Luke,Kadin,Griffin,Ruben,Mitch,Jacob,Andrew,Raghav,Connor,Kyle,Michael,Nick"</formula1>
    </dataValidation>
  </dataValidations>
  <drawing r:id="rId1"/>
</worksheet>
</file>